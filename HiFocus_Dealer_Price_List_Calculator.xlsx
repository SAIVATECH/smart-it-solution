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aler Price Li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0.0%"/>
    <numFmt numFmtId="165" formatCode="₹#,##0"/>
    <numFmt numFmtId="166" formatCode="₹#,##0.00"/>
  </numFmts>
  <fonts count="10">
    <font>
      <name val="Calibri"/>
      <family val="2"/>
      <color theme="1"/>
      <sz val="11"/>
      <scheme val="minor"/>
    </font>
    <font>
      <name val="Segoe UI"/>
      <b val="1"/>
      <color rgb="00FFFFFF"/>
      <sz val="16"/>
    </font>
    <font>
      <name val="Segoe UI"/>
      <i val="1"/>
      <color rgb="00E2E8F0"/>
      <sz val="10"/>
    </font>
    <font>
      <name val="Segoe UI"/>
      <b val="1"/>
      <color rgb="00334155"/>
      <sz val="10"/>
    </font>
    <font>
      <name val="Segoe UI"/>
      <b val="1"/>
      <color rgb="000369A1"/>
      <sz val="10"/>
    </font>
    <font>
      <name val="Segoe UI"/>
      <i val="1"/>
      <color rgb="0064748B"/>
      <sz val="9"/>
    </font>
    <font>
      <name val="Segoe UI"/>
      <b val="1"/>
      <color rgb="00FFFFFF"/>
      <sz val="11"/>
    </font>
    <font>
      <name val="Segoe UI"/>
      <b val="1"/>
      <color rgb="00FFFFFF"/>
      <sz val="10"/>
    </font>
    <font>
      <name val="Consolas"/>
      <b val="1"/>
      <color rgb="000F172A"/>
      <sz val="10"/>
    </font>
    <font>
      <name val="Segoe UI"/>
      <color rgb="001E293B"/>
      <sz val="10"/>
    </font>
  </fonts>
  <fills count="7">
    <fill>
      <patternFill/>
    </fill>
    <fill>
      <patternFill patternType="gray125"/>
    </fill>
    <fill>
      <patternFill patternType="solid">
        <fgColor rgb="000F172A"/>
        <bgColor rgb="000F172A"/>
      </patternFill>
    </fill>
    <fill>
      <patternFill patternType="solid">
        <fgColor rgb="001E293B"/>
        <bgColor rgb="001E293B"/>
      </patternFill>
    </fill>
    <fill>
      <patternFill patternType="solid">
        <fgColor rgb="00334155"/>
        <bgColor rgb="00334155"/>
      </patternFill>
    </fill>
    <fill>
      <patternFill patternType="solid">
        <fgColor rgb="00F0F9FF"/>
        <bgColor rgb="00F0F9FF"/>
      </patternFill>
    </fill>
    <fill>
      <patternFill patternType="solid">
        <fgColor rgb="00F8FAFC"/>
        <bgColor rgb="00F8FAFC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2" borderId="0" applyAlignment="1" pivotButton="0" quotePrefix="0" xfId="0">
      <alignment horizontal="left" vertical="center"/>
    </xf>
    <xf numFmtId="0" fontId="3" fillId="0" borderId="0" pivotButton="0" quotePrefix="0" xfId="0"/>
    <xf numFmtId="164" fontId="4" fillId="0" borderId="0" pivotButton="0" quotePrefix="0" xfId="0"/>
    <xf numFmtId="0" fontId="5" fillId="0" borderId="0" pivotButton="0" quotePrefix="0" xfId="0"/>
    <xf numFmtId="0" fontId="6" fillId="3" borderId="0" applyAlignment="1" pivotButton="0" quotePrefix="0" xfId="0">
      <alignment horizontal="left" vertical="center"/>
    </xf>
    <xf numFmtId="0" fontId="7" fillId="4" borderId="1" applyAlignment="1" pivotButton="0" quotePrefix="0" xfId="0">
      <alignment horizontal="left" vertical="center"/>
    </xf>
    <xf numFmtId="0" fontId="7" fillId="4" borderId="1" applyAlignment="1" pivotButton="0" quotePrefix="0" xfId="0">
      <alignment horizontal="right" vertical="center"/>
    </xf>
    <xf numFmtId="0" fontId="8" fillId="0" borderId="1" applyAlignment="1" pivotButton="0" quotePrefix="0" xfId="0">
      <alignment horizontal="left" vertical="center"/>
    </xf>
    <xf numFmtId="0" fontId="9" fillId="0" borderId="1" applyAlignment="1" pivotButton="0" quotePrefix="0" xfId="0">
      <alignment horizontal="left" vertical="center"/>
    </xf>
    <xf numFmtId="165" fontId="9" fillId="0" borderId="1" applyAlignment="1" pivotButton="0" quotePrefix="0" xfId="0">
      <alignment horizontal="right" vertical="center"/>
    </xf>
    <xf numFmtId="166" fontId="9" fillId="0" borderId="1" applyAlignment="1" pivotButton="0" quotePrefix="0" xfId="0">
      <alignment horizontal="right" vertical="center"/>
    </xf>
    <xf numFmtId="165" fontId="4" fillId="5" borderId="1" applyAlignment="1" pivotButton="0" quotePrefix="0" xfId="0">
      <alignment horizontal="right" vertical="center"/>
    </xf>
    <xf numFmtId="0" fontId="8" fillId="6" borderId="1" applyAlignment="1" pivotButton="0" quotePrefix="0" xfId="0">
      <alignment horizontal="left" vertical="center"/>
    </xf>
    <xf numFmtId="0" fontId="9" fillId="6" borderId="1" applyAlignment="1" pivotButton="0" quotePrefix="0" xfId="0">
      <alignment horizontal="left" vertical="center"/>
    </xf>
    <xf numFmtId="165" fontId="9" fillId="6" borderId="1" applyAlignment="1" pivotButton="0" quotePrefix="0" xfId="0">
      <alignment horizontal="right" vertical="center"/>
    </xf>
    <xf numFmtId="166" fontId="9" fillId="6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0"/>
  <sheetViews>
    <sheetView showGridLines="1" workbookViewId="0">
      <selection activeCell="A1" sqref="A1"/>
    </sheetView>
  </sheetViews>
  <sheetFormatPr baseColWidth="8" defaultRowHeight="15"/>
  <cols>
    <col width="28" customWidth="1" min="1" max="1"/>
    <col width="32" customWidth="1" min="2" max="2"/>
    <col width="16" customWidth="1" min="3" max="3"/>
    <col width="20" customWidth="1" min="4" max="4"/>
    <col width="34" customWidth="1" min="5" max="5"/>
  </cols>
  <sheetData>
    <row r="1" ht="25" customHeight="1">
      <c r="A1" s="1" t="inlineStr">
        <is>
          <t>HiFocus Official Dealer Price List &amp; Calculator</t>
        </is>
      </c>
    </row>
    <row r="2" ht="18" customHeight="1">
      <c r="A2" s="2" t="inlineStr">
        <is>
          <t>Smart IT Solutions — Dealer Distribution Rate Card</t>
        </is>
      </c>
    </row>
    <row r="4">
      <c r="A4" s="3" t="inlineStr">
        <is>
          <t>Dealer Discount Rate:</t>
        </is>
      </c>
      <c r="B4" s="4" t="n">
        <v>0.12</v>
      </c>
      <c r="D4" s="3" t="inlineStr">
        <is>
          <t>GST Rate:</t>
        </is>
      </c>
      <c r="E4" s="4" t="n">
        <v>0.18</v>
      </c>
    </row>
    <row r="5">
      <c r="A5" s="3" t="inlineStr">
        <is>
          <t>Formula:</t>
        </is>
      </c>
      <c r="B5" s="5" t="inlineStr">
        <is>
          <t>Dealer Final Cost = ROUND( (SPP * (1 - Discount Rate)) * (1 + GST Rate), 0 )</t>
        </is>
      </c>
    </row>
    <row r="7" ht="22" customHeight="1">
      <c r="A7" s="6" t="inlineStr">
        <is>
          <t>1. Prime Series IP Cameras</t>
        </is>
      </c>
    </row>
    <row r="8" ht="20" customHeight="1">
      <c r="A8" s="7" t="inlineStr">
        <is>
          <t>Model Code</t>
        </is>
      </c>
      <c r="B8" s="7" t="inlineStr">
        <is>
          <t>Description</t>
        </is>
      </c>
      <c r="C8" s="8" t="inlineStr">
        <is>
          <t>SPP Price (₹)</t>
        </is>
      </c>
      <c r="D8" s="8" t="inlineStr">
        <is>
          <t>Excl. GST Cost (₹)</t>
        </is>
      </c>
      <c r="E8" s="8" t="inlineStr">
        <is>
          <t>Dealer Final Price (Incl. 18% GST)</t>
        </is>
      </c>
    </row>
    <row r="9" ht="19" customHeight="1">
      <c r="A9" s="9" t="inlineStr">
        <is>
          <t>HIPC-D3022E-I2</t>
        </is>
      </c>
      <c r="B9" s="10" t="inlineStr">
        <is>
          <t>2 MP IR Dome</t>
        </is>
      </c>
      <c r="C9" s="11" t="n">
        <v>2800</v>
      </c>
      <c r="D9" s="12">
        <f>C9*(1-$B$4)</f>
        <v/>
      </c>
      <c r="E9" s="13">
        <f>ROUND(D9*(1+$E$4), 0)</f>
        <v/>
      </c>
    </row>
    <row r="10" ht="19" customHeight="1">
      <c r="A10" s="14" t="inlineStr">
        <is>
          <t>HIPC-T4022E-I2</t>
        </is>
      </c>
      <c r="B10" s="15" t="inlineStr">
        <is>
          <t>2 MP IR Bullet</t>
        </is>
      </c>
      <c r="C10" s="16" t="n">
        <v>2800</v>
      </c>
      <c r="D10" s="17">
        <f>C10*(1-$B$4)</f>
        <v/>
      </c>
      <c r="E10" s="13">
        <f>ROUND(D10*(1+$E$4), 0)</f>
        <v/>
      </c>
    </row>
    <row r="11" ht="19" customHeight="1">
      <c r="A11" s="9" t="inlineStr">
        <is>
          <t>HIPC-D3024E-I2</t>
        </is>
      </c>
      <c r="B11" s="10" t="inlineStr">
        <is>
          <t>4 MP IR Dome</t>
        </is>
      </c>
      <c r="C11" s="11" t="n">
        <v>3700</v>
      </c>
      <c r="D11" s="12">
        <f>C11*(1-$B$4)</f>
        <v/>
      </c>
      <c r="E11" s="13">
        <f>ROUND(D11*(1+$E$4), 0)</f>
        <v/>
      </c>
    </row>
    <row r="12" ht="19" customHeight="1">
      <c r="A12" s="14" t="inlineStr">
        <is>
          <t>HIPC-T4024E-I2</t>
        </is>
      </c>
      <c r="B12" s="15" t="inlineStr">
        <is>
          <t>4 MP IR Bullet</t>
        </is>
      </c>
      <c r="C12" s="16" t="n">
        <v>3700</v>
      </c>
      <c r="D12" s="17">
        <f>C12*(1-$B$4)</f>
        <v/>
      </c>
      <c r="E12" s="13">
        <f>ROUND(D12*(1+$E$4), 0)</f>
        <v/>
      </c>
    </row>
    <row r="13" ht="19" customHeight="1">
      <c r="A13" s="9" t="inlineStr">
        <is>
          <t>HIPC-D3022-DL-I2</t>
        </is>
      </c>
      <c r="B13" s="10" t="inlineStr">
        <is>
          <t>2 MP Dual Light Dome</t>
        </is>
      </c>
      <c r="C13" s="11" t="n">
        <v>3100</v>
      </c>
      <c r="D13" s="12">
        <f>C13*(1-$B$4)</f>
        <v/>
      </c>
      <c r="E13" s="13">
        <f>ROUND(D13*(1+$E$4), 0)</f>
        <v/>
      </c>
    </row>
    <row r="14" ht="19" customHeight="1">
      <c r="A14" s="14" t="inlineStr">
        <is>
          <t>HIPC-T4022-DL-I2</t>
        </is>
      </c>
      <c r="B14" s="15" t="inlineStr">
        <is>
          <t>2 MP Dual Light Bullet</t>
        </is>
      </c>
      <c r="C14" s="16" t="n">
        <v>3100</v>
      </c>
      <c r="D14" s="17">
        <f>C14*(1-$B$4)</f>
        <v/>
      </c>
      <c r="E14" s="13">
        <f>ROUND(D14*(1+$E$4), 0)</f>
        <v/>
      </c>
    </row>
    <row r="15" ht="19" customHeight="1">
      <c r="A15" s="9" t="inlineStr">
        <is>
          <t>HIPC-D3024-DL-I2</t>
        </is>
      </c>
      <c r="B15" s="10" t="inlineStr">
        <is>
          <t>4 MP Dual Light Dome</t>
        </is>
      </c>
      <c r="C15" s="11" t="n">
        <v>4000</v>
      </c>
      <c r="D15" s="12">
        <f>C15*(1-$B$4)</f>
        <v/>
      </c>
      <c r="E15" s="13">
        <f>ROUND(D15*(1+$E$4), 0)</f>
        <v/>
      </c>
    </row>
    <row r="16" ht="19" customHeight="1">
      <c r="A16" s="14" t="inlineStr">
        <is>
          <t>HIPC-T4024-DL-I2</t>
        </is>
      </c>
      <c r="B16" s="15" t="inlineStr">
        <is>
          <t>4 MP Dual Light Bullet</t>
        </is>
      </c>
      <c r="C16" s="16" t="n">
        <v>4000</v>
      </c>
      <c r="D16" s="17">
        <f>C16*(1-$B$4)</f>
        <v/>
      </c>
      <c r="E16" s="13">
        <f>ROUND(D16*(1+$E$4), 0)</f>
        <v/>
      </c>
    </row>
    <row r="17" ht="19" customHeight="1">
      <c r="A17" s="9" t="inlineStr">
        <is>
          <t>HC-IPC-D13212DVZK-N5-0</t>
        </is>
      </c>
      <c r="B17" s="10" t="inlineStr">
        <is>
          <t>2 MP MVF Vandal Dome</t>
        </is>
      </c>
      <c r="C17" s="11" t="n">
        <v>16500</v>
      </c>
      <c r="D17" s="12">
        <f>C17*(1-$B$4)</f>
        <v/>
      </c>
      <c r="E17" s="13">
        <f>ROUND(D17*(1+$E$4), 0)</f>
        <v/>
      </c>
    </row>
    <row r="18" ht="19" customHeight="1">
      <c r="A18" s="14" t="inlineStr">
        <is>
          <t>HC-IPC-T14312DVZK-N8-0</t>
        </is>
      </c>
      <c r="B18" s="15" t="inlineStr">
        <is>
          <t>2 MP MVF Vandal Bullet</t>
        </is>
      </c>
      <c r="C18" s="16" t="n">
        <v>16500</v>
      </c>
      <c r="D18" s="17">
        <f>C18*(1-$B$4)</f>
        <v/>
      </c>
      <c r="E18" s="13">
        <f>ROUND(D18*(1+$E$4), 0)</f>
        <v/>
      </c>
    </row>
    <row r="19" ht="19" customHeight="1">
      <c r="A19" s="9" t="inlineStr">
        <is>
          <t>HC-IPC-D13215DVZK-N5-0</t>
        </is>
      </c>
      <c r="B19" s="10" t="inlineStr">
        <is>
          <t>5 MP MVF Vandal Dome</t>
        </is>
      </c>
      <c r="C19" s="11" t="n">
        <v>20500</v>
      </c>
      <c r="D19" s="12">
        <f>C19*(1-$B$4)</f>
        <v/>
      </c>
      <c r="E19" s="13">
        <f>ROUND(D19*(1+$E$4), 0)</f>
        <v/>
      </c>
    </row>
    <row r="20" ht="19" customHeight="1">
      <c r="A20" s="14" t="inlineStr">
        <is>
          <t>HC-IPC-T14315DVZK-N8-0</t>
        </is>
      </c>
      <c r="B20" s="15" t="inlineStr">
        <is>
          <t>5 MP MVF Vandal Bullet</t>
        </is>
      </c>
      <c r="C20" s="16" t="n">
        <v>20500</v>
      </c>
      <c r="D20" s="17">
        <f>C20*(1-$B$4)</f>
        <v/>
      </c>
      <c r="E20" s="13">
        <f>ROUND(D20*(1+$E$4), 0)</f>
        <v/>
      </c>
    </row>
    <row r="22" ht="22" customHeight="1">
      <c r="A22" s="6" t="inlineStr">
        <is>
          <t>2. Optima Series IP Cameras</t>
        </is>
      </c>
    </row>
    <row r="23" ht="20" customHeight="1">
      <c r="A23" s="7" t="inlineStr">
        <is>
          <t>Model Code</t>
        </is>
      </c>
      <c r="B23" s="7" t="inlineStr">
        <is>
          <t>Description</t>
        </is>
      </c>
      <c r="C23" s="8" t="inlineStr">
        <is>
          <t>SPP Price (₹)</t>
        </is>
      </c>
      <c r="D23" s="8" t="inlineStr">
        <is>
          <t>Excl. GST Cost (₹)</t>
        </is>
      </c>
      <c r="E23" s="8" t="inlineStr">
        <is>
          <t>Dealer Final Price (Incl. 18% GST)</t>
        </is>
      </c>
    </row>
    <row r="24" ht="19" customHeight="1">
      <c r="A24" s="9" t="inlineStr">
        <is>
          <t>HIPC-D3304-DLS-R1</t>
        </is>
      </c>
      <c r="B24" s="10" t="inlineStr">
        <is>
          <t>4 MP IP Dome Camera</t>
        </is>
      </c>
      <c r="C24" s="11" t="n">
        <v>3650</v>
      </c>
      <c r="D24" s="12">
        <f>C24*(1-$B$4)</f>
        <v/>
      </c>
      <c r="E24" s="13">
        <f>ROUND(D24*(1+$E$4), 0)</f>
        <v/>
      </c>
    </row>
    <row r="25" ht="19" customHeight="1">
      <c r="A25" s="14" t="inlineStr">
        <is>
          <t>HIPC-T4404-DL-R1</t>
        </is>
      </c>
      <c r="B25" s="15" t="inlineStr">
        <is>
          <t>4 MP IP Bullet Camera</t>
        </is>
      </c>
      <c r="C25" s="16" t="n">
        <v>3650</v>
      </c>
      <c r="D25" s="17">
        <f>C25*(1-$B$4)</f>
        <v/>
      </c>
      <c r="E25" s="13">
        <f>ROUND(D25*(1+$E$4), 0)</f>
        <v/>
      </c>
    </row>
    <row r="26" ht="19" customHeight="1">
      <c r="A26" s="9" t="inlineStr">
        <is>
          <t>HIPC-T4804-DLS-R1</t>
        </is>
      </c>
      <c r="B26" s="10" t="inlineStr">
        <is>
          <t>4 MP IP Bullet Camera</t>
        </is>
      </c>
      <c r="C26" s="11" t="n">
        <v>4250</v>
      </c>
      <c r="D26" s="12">
        <f>C26*(1-$B$4)</f>
        <v/>
      </c>
      <c r="E26" s="13">
        <f>ROUND(D26*(1+$E$4), 0)</f>
        <v/>
      </c>
    </row>
    <row r="27" ht="19" customHeight="1">
      <c r="A27" s="14" t="inlineStr">
        <is>
          <t>HIPC-T4504-ADL-R1</t>
        </is>
      </c>
      <c r="B27" s="15" t="inlineStr">
        <is>
          <t>4 MP IP Bullet Camera</t>
        </is>
      </c>
      <c r="C27" s="16" t="n">
        <v>4050</v>
      </c>
      <c r="D27" s="17">
        <f>C27*(1-$B$4)</f>
        <v/>
      </c>
      <c r="E27" s="13">
        <f>ROUND(D27*(1+$E$4), 0)</f>
        <v/>
      </c>
    </row>
    <row r="28" ht="19" customHeight="1">
      <c r="A28" s="9" t="inlineStr">
        <is>
          <t>HIPC-T4504-DLS-R1</t>
        </is>
      </c>
      <c r="B28" s="10" t="inlineStr">
        <is>
          <t>4 MP IP Bullet Camera</t>
        </is>
      </c>
      <c r="C28" s="11" t="n">
        <v>4150</v>
      </c>
      <c r="D28" s="12">
        <f>C28*(1-$B$4)</f>
        <v/>
      </c>
      <c r="E28" s="13">
        <f>ROUND(D28*(1+$E$4), 0)</f>
        <v/>
      </c>
    </row>
    <row r="30" ht="22" customHeight="1">
      <c r="A30" s="6" t="inlineStr">
        <is>
          <t>3. Velocity Series Cameras (Analog / HD)</t>
        </is>
      </c>
    </row>
    <row r="31" ht="20" customHeight="1">
      <c r="A31" s="7" t="inlineStr">
        <is>
          <t>Model Code</t>
        </is>
      </c>
      <c r="B31" s="7" t="inlineStr">
        <is>
          <t>Description</t>
        </is>
      </c>
      <c r="C31" s="8" t="inlineStr">
        <is>
          <t>SPP Price (₹)</t>
        </is>
      </c>
      <c r="D31" s="8" t="inlineStr">
        <is>
          <t>Excl. GST Cost (₹)</t>
        </is>
      </c>
      <c r="E31" s="8" t="inlineStr">
        <is>
          <t>Dealer Final Price (Incl. 18% GST)</t>
        </is>
      </c>
    </row>
    <row r="32" ht="19" customHeight="1">
      <c r="A32" s="9" t="inlineStr">
        <is>
          <t>HC-DS2401N2PA-DL</t>
        </is>
      </c>
      <c r="B32" s="10" t="inlineStr">
        <is>
          <t>2.4 MP Dual Light Dome</t>
        </is>
      </c>
      <c r="C32" s="11" t="n">
        <v>1250</v>
      </c>
      <c r="D32" s="12">
        <f>C32*(1-$B$4)</f>
        <v/>
      </c>
      <c r="E32" s="13">
        <f>ROUND(D32*(1+$E$4), 0)</f>
        <v/>
      </c>
    </row>
    <row r="33" ht="19" customHeight="1">
      <c r="A33" s="14" t="inlineStr">
        <is>
          <t>HC-TS2401N2PA-DL</t>
        </is>
      </c>
      <c r="B33" s="15" t="inlineStr">
        <is>
          <t>2.4 MP Dual Light Bullet</t>
        </is>
      </c>
      <c r="C33" s="16" t="n">
        <v>1350</v>
      </c>
      <c r="D33" s="17">
        <f>C33*(1-$B$4)</f>
        <v/>
      </c>
      <c r="E33" s="13">
        <f>ROUND(D33*(1+$E$4), 0)</f>
        <v/>
      </c>
    </row>
    <row r="34" ht="19" customHeight="1">
      <c r="A34" s="9" t="inlineStr">
        <is>
          <t>HC-DS5501N2PA-DL</t>
        </is>
      </c>
      <c r="B34" s="10" t="inlineStr">
        <is>
          <t>5 MP Dual Light Dome</t>
        </is>
      </c>
      <c r="C34" s="11" t="n">
        <v>1750</v>
      </c>
      <c r="D34" s="12">
        <f>C34*(1-$B$4)</f>
        <v/>
      </c>
      <c r="E34" s="13">
        <f>ROUND(D34*(1+$E$4), 0)</f>
        <v/>
      </c>
    </row>
    <row r="35" ht="19" customHeight="1">
      <c r="A35" s="14" t="inlineStr">
        <is>
          <t>HC-TS5501N2PA-DL</t>
        </is>
      </c>
      <c r="B35" s="15" t="inlineStr">
        <is>
          <t>5 MP Dual Light Bullet</t>
        </is>
      </c>
      <c r="C35" s="16" t="n">
        <v>1800</v>
      </c>
      <c r="D35" s="17">
        <f>C35*(1-$B$4)</f>
        <v/>
      </c>
      <c r="E35" s="13">
        <f>ROUND(D35*(1+$E$4), 0)</f>
        <v/>
      </c>
    </row>
    <row r="37" ht="22" customHeight="1">
      <c r="A37" s="6" t="inlineStr">
        <is>
          <t>4. Prime Series NVRs</t>
        </is>
      </c>
    </row>
    <row r="38" ht="20" customHeight="1">
      <c r="A38" s="7" t="inlineStr">
        <is>
          <t>Model Code</t>
        </is>
      </c>
      <c r="B38" s="7" t="inlineStr">
        <is>
          <t>Description</t>
        </is>
      </c>
      <c r="C38" s="8" t="inlineStr">
        <is>
          <t>SPP Price (₹)</t>
        </is>
      </c>
      <c r="D38" s="8" t="inlineStr">
        <is>
          <t>Excl. GST Cost (₹)</t>
        </is>
      </c>
      <c r="E38" s="8" t="inlineStr">
        <is>
          <t>Dealer Final Price (Incl. 18% GST)</t>
        </is>
      </c>
    </row>
    <row r="39" ht="19" customHeight="1">
      <c r="A39" s="9" t="inlineStr">
        <is>
          <t>HD-NVR-21041-4P</t>
        </is>
      </c>
      <c r="B39" s="10" t="inlineStr">
        <is>
          <t>4 CH PoE NVR</t>
        </is>
      </c>
      <c r="C39" s="11" t="n">
        <v>4500</v>
      </c>
      <c r="D39" s="12">
        <f>C39*(1-$B$4)</f>
        <v/>
      </c>
      <c r="E39" s="13">
        <f>ROUND(D39*(1+$E$4), 0)</f>
        <v/>
      </c>
    </row>
    <row r="40" ht="19" customHeight="1">
      <c r="A40" s="14" t="inlineStr">
        <is>
          <t>HD-NVR-21081-8P</t>
        </is>
      </c>
      <c r="B40" s="15" t="inlineStr">
        <is>
          <t>8 CH PoE NVR</t>
        </is>
      </c>
      <c r="C40" s="16" t="n">
        <v>5500</v>
      </c>
      <c r="D40" s="17">
        <f>C40*(1-$B$4)</f>
        <v/>
      </c>
      <c r="E40" s="13">
        <f>ROUND(D40*(1+$E$4), 0)</f>
        <v/>
      </c>
    </row>
    <row r="41" ht="19" customHeight="1">
      <c r="A41" s="9" t="inlineStr">
        <is>
          <t>HD-NVR-21051</t>
        </is>
      </c>
      <c r="B41" s="10" t="inlineStr">
        <is>
          <t>5 CH NVR</t>
        </is>
      </c>
      <c r="C41" s="11" t="n">
        <v>4150</v>
      </c>
      <c r="D41" s="12">
        <f>C41*(1-$B$4)</f>
        <v/>
      </c>
      <c r="E41" s="13">
        <f>ROUND(D41*(1+$E$4), 0)</f>
        <v/>
      </c>
    </row>
    <row r="42" ht="19" customHeight="1">
      <c r="A42" s="14" t="inlineStr">
        <is>
          <t>HD-NVR-21101</t>
        </is>
      </c>
      <c r="B42" s="15" t="inlineStr">
        <is>
          <t>10 CH NVR</t>
        </is>
      </c>
      <c r="C42" s="16" t="n">
        <v>4950</v>
      </c>
      <c r="D42" s="17">
        <f>C42*(1-$B$4)</f>
        <v/>
      </c>
      <c r="E42" s="13">
        <f>ROUND(D42*(1+$E$4), 0)</f>
        <v/>
      </c>
    </row>
    <row r="43" ht="19" customHeight="1">
      <c r="A43" s="9" t="inlineStr">
        <is>
          <t>HD-NVR-21161</t>
        </is>
      </c>
      <c r="B43" s="10" t="inlineStr">
        <is>
          <t>16 CH NVR</t>
        </is>
      </c>
      <c r="C43" s="11" t="n">
        <v>7100</v>
      </c>
      <c r="D43" s="12">
        <f>C43*(1-$B$4)</f>
        <v/>
      </c>
      <c r="E43" s="13">
        <f>ROUND(D43*(1+$E$4), 0)</f>
        <v/>
      </c>
    </row>
    <row r="44" ht="19" customHeight="1">
      <c r="A44" s="14" t="inlineStr">
        <is>
          <t>HD-NVR-22201</t>
        </is>
      </c>
      <c r="B44" s="15" t="inlineStr">
        <is>
          <t>20 CH NVR</t>
        </is>
      </c>
      <c r="C44" s="16" t="n">
        <v>9500</v>
      </c>
      <c r="D44" s="17">
        <f>C44*(1-$B$4)</f>
        <v/>
      </c>
      <c r="E44" s="13">
        <f>ROUND(D44*(1+$E$4), 0)</f>
        <v/>
      </c>
    </row>
    <row r="45" ht="19" customHeight="1">
      <c r="A45" s="9" t="inlineStr">
        <is>
          <t>HD-NVR-22321</t>
        </is>
      </c>
      <c r="B45" s="10" t="inlineStr">
        <is>
          <t>32 CH NVR</t>
        </is>
      </c>
      <c r="C45" s="11" t="n">
        <v>14250</v>
      </c>
      <c r="D45" s="12">
        <f>C45*(1-$B$4)</f>
        <v/>
      </c>
      <c r="E45" s="13">
        <f>ROUND(D45*(1+$E$4), 0)</f>
        <v/>
      </c>
    </row>
    <row r="46" ht="19" customHeight="1">
      <c r="A46" s="14" t="inlineStr">
        <is>
          <t>HD-NVR-4120I</t>
        </is>
      </c>
      <c r="B46" s="15" t="inlineStr">
        <is>
          <t>20 CH NVR</t>
        </is>
      </c>
      <c r="C46" s="16" t="n">
        <v>7650</v>
      </c>
      <c r="D46" s="17">
        <f>C46*(1-$B$4)</f>
        <v/>
      </c>
      <c r="E46" s="13">
        <f>ROUND(D46*(1+$E$4), 0)</f>
        <v/>
      </c>
    </row>
    <row r="47" ht="19" customHeight="1">
      <c r="A47" s="9" t="inlineStr">
        <is>
          <t>HD-NVR-5220I</t>
        </is>
      </c>
      <c r="B47" s="10" t="inlineStr">
        <is>
          <t>20 CH NVR</t>
        </is>
      </c>
      <c r="C47" s="11" t="n">
        <v>13500</v>
      </c>
      <c r="D47" s="12">
        <f>C47*(1-$B$4)</f>
        <v/>
      </c>
      <c r="E47" s="13">
        <f>ROUND(D47*(1+$E$4), 0)</f>
        <v/>
      </c>
    </row>
    <row r="48" ht="19" customHeight="1">
      <c r="A48" s="14" t="inlineStr">
        <is>
          <t>HD-NVR-5232I</t>
        </is>
      </c>
      <c r="B48" s="15" t="inlineStr">
        <is>
          <t>32 CH NVR</t>
        </is>
      </c>
      <c r="C48" s="16" t="n">
        <v>17000</v>
      </c>
      <c r="D48" s="17">
        <f>C48*(1-$B$4)</f>
        <v/>
      </c>
      <c r="E48" s="13">
        <f>ROUND(D48*(1+$E$4), 0)</f>
        <v/>
      </c>
    </row>
    <row r="49" ht="19" customHeight="1">
      <c r="A49" s="9" t="inlineStr">
        <is>
          <t>HD-NVR-7240I</t>
        </is>
      </c>
      <c r="B49" s="10" t="inlineStr">
        <is>
          <t>40 CH NVR</t>
        </is>
      </c>
      <c r="C49" s="11" t="n">
        <v>34000</v>
      </c>
      <c r="D49" s="12">
        <f>C49*(1-$B$4)</f>
        <v/>
      </c>
      <c r="E49" s="13">
        <f>ROUND(D49*(1+$E$4), 0)</f>
        <v/>
      </c>
    </row>
    <row r="50" ht="19" customHeight="1">
      <c r="A50" s="14" t="inlineStr">
        <is>
          <t>HD-NVR-5440I</t>
        </is>
      </c>
      <c r="B50" s="15" t="inlineStr">
        <is>
          <t>40 CH NVR</t>
        </is>
      </c>
      <c r="C50" s="16" t="n">
        <v>41500</v>
      </c>
      <c r="D50" s="17">
        <f>C50*(1-$B$4)</f>
        <v/>
      </c>
      <c r="E50" s="13">
        <f>ROUND(D50*(1+$E$4), 0)</f>
        <v/>
      </c>
    </row>
    <row r="51" ht="19" customHeight="1">
      <c r="A51" s="9" t="inlineStr">
        <is>
          <t>HD-NVR-5480I</t>
        </is>
      </c>
      <c r="B51" s="10" t="inlineStr">
        <is>
          <t>80 CH NVR</t>
        </is>
      </c>
      <c r="C51" s="11" t="n">
        <v>37500</v>
      </c>
      <c r="D51" s="12">
        <f>C51*(1-$B$4)</f>
        <v/>
      </c>
      <c r="E51" s="13">
        <f>ROUND(D51*(1+$E$4), 0)</f>
        <v/>
      </c>
    </row>
    <row r="52" ht="19" customHeight="1">
      <c r="A52" s="14" t="inlineStr">
        <is>
          <t>HD-NVR-78401</t>
        </is>
      </c>
      <c r="B52" s="15" t="inlineStr">
        <is>
          <t>40 CH NVR</t>
        </is>
      </c>
      <c r="C52" s="16" t="n">
        <v>63500</v>
      </c>
      <c r="D52" s="17">
        <f>C52*(1-$B$4)</f>
        <v/>
      </c>
      <c r="E52" s="13">
        <f>ROUND(D52*(1+$E$4), 0)</f>
        <v/>
      </c>
    </row>
    <row r="53" ht="19" customHeight="1">
      <c r="A53" s="9" t="inlineStr">
        <is>
          <t>HD-NVR-78801</t>
        </is>
      </c>
      <c r="B53" s="10" t="inlineStr">
        <is>
          <t>80 CH NVR</t>
        </is>
      </c>
      <c r="C53" s="11" t="n">
        <v>66500</v>
      </c>
      <c r="D53" s="12">
        <f>C53*(1-$B$4)</f>
        <v/>
      </c>
      <c r="E53" s="13">
        <f>ROUND(D53*(1+$E$4), 0)</f>
        <v/>
      </c>
    </row>
    <row r="54" ht="19" customHeight="1">
      <c r="A54" s="14" t="inlineStr">
        <is>
          <t>HD-NVR-524160I</t>
        </is>
      </c>
      <c r="B54" s="15" t="inlineStr">
        <is>
          <t>160 CH NVR</t>
        </is>
      </c>
      <c r="C54" s="16" t="n">
        <v>250000</v>
      </c>
      <c r="D54" s="17">
        <f>C54*(1-$B$4)</f>
        <v/>
      </c>
      <c r="E54" s="13">
        <f>ROUND(D54*(1+$E$4), 0)</f>
        <v/>
      </c>
    </row>
    <row r="56" ht="22" customHeight="1">
      <c r="A56" s="6" t="inlineStr">
        <is>
          <t>5. Velocity Series NVRs</t>
        </is>
      </c>
    </row>
    <row r="57" ht="20" customHeight="1">
      <c r="A57" s="7" t="inlineStr">
        <is>
          <t>Model Code</t>
        </is>
      </c>
      <c r="B57" s="7" t="inlineStr">
        <is>
          <t>Description</t>
        </is>
      </c>
      <c r="C57" s="8" t="inlineStr">
        <is>
          <t>SPP Price (₹)</t>
        </is>
      </c>
      <c r="D57" s="8" t="inlineStr">
        <is>
          <t>Excl. GST Cost (₹)</t>
        </is>
      </c>
      <c r="E57" s="8" t="inlineStr">
        <is>
          <t>Dealer Final Price (Incl. 18% GST)</t>
        </is>
      </c>
    </row>
    <row r="58" ht="19" customHeight="1">
      <c r="A58" s="9" t="inlineStr">
        <is>
          <t>HD-NVR-4104TL-B</t>
        </is>
      </c>
      <c r="B58" s="10" t="inlineStr">
        <is>
          <t>4 CH NVR</t>
        </is>
      </c>
      <c r="C58" s="11" t="n">
        <v>4150</v>
      </c>
      <c r="D58" s="12">
        <f>C58*(1-$B$4)</f>
        <v/>
      </c>
      <c r="E58" s="13">
        <f>ROUND(D58*(1+$E$4), 0)</f>
        <v/>
      </c>
    </row>
    <row r="59" ht="19" customHeight="1">
      <c r="A59" s="14" t="inlineStr">
        <is>
          <t>HD-NVR-4108TL-B</t>
        </is>
      </c>
      <c r="B59" s="15" t="inlineStr">
        <is>
          <t>8 CH NVR</t>
        </is>
      </c>
      <c r="C59" s="16" t="n">
        <v>4950</v>
      </c>
      <c r="D59" s="17">
        <f>C59*(1-$B$4)</f>
        <v/>
      </c>
      <c r="E59" s="13">
        <f>ROUND(D59*(1+$E$4), 0)</f>
        <v/>
      </c>
    </row>
    <row r="60" ht="19" customHeight="1">
      <c r="A60" s="9" t="inlineStr">
        <is>
          <t>HD-NVR-4116TL-A</t>
        </is>
      </c>
      <c r="B60" s="10" t="inlineStr">
        <is>
          <t>16 CH NVR</t>
        </is>
      </c>
      <c r="C60" s="11" t="n">
        <v>7300</v>
      </c>
      <c r="D60" s="12">
        <f>C60*(1-$B$4)</f>
        <v/>
      </c>
      <c r="E60" s="13">
        <f>ROUND(D60*(1+$E$4), 0)</f>
        <v/>
      </c>
    </row>
    <row r="61" ht="19" customHeight="1">
      <c r="A61" s="14" t="inlineStr">
        <is>
          <t>HD-NVR-4104TL-4P-4K</t>
        </is>
      </c>
      <c r="B61" s="15" t="inlineStr">
        <is>
          <t>4 CH PoE NVR</t>
        </is>
      </c>
      <c r="C61" s="16" t="n">
        <v>4500</v>
      </c>
      <c r="D61" s="17">
        <f>C61*(1-$B$4)</f>
        <v/>
      </c>
      <c r="E61" s="13">
        <f>ROUND(D61*(1+$E$4), 0)</f>
        <v/>
      </c>
    </row>
    <row r="62" ht="19" customHeight="1">
      <c r="A62" s="9" t="inlineStr">
        <is>
          <t>HD-NVR-4108TL-8P-4K</t>
        </is>
      </c>
      <c r="B62" s="10" t="inlineStr">
        <is>
          <t>8 CH PoE NVR</t>
        </is>
      </c>
      <c r="C62" s="11" t="n">
        <v>5500</v>
      </c>
      <c r="D62" s="12">
        <f>C62*(1-$B$4)</f>
        <v/>
      </c>
      <c r="E62" s="13">
        <f>ROUND(D62*(1+$E$4), 0)</f>
        <v/>
      </c>
    </row>
    <row r="63" ht="19" customHeight="1">
      <c r="A63" s="14" t="inlineStr">
        <is>
          <t>HD-NVR-5116T-B</t>
        </is>
      </c>
      <c r="B63" s="15" t="inlineStr">
        <is>
          <t>16 CH NVR</t>
        </is>
      </c>
      <c r="C63" s="16" t="n">
        <v>11000</v>
      </c>
      <c r="D63" s="17">
        <f>C63*(1-$B$4)</f>
        <v/>
      </c>
      <c r="E63" s="13">
        <f>ROUND(D63*(1+$E$4), 0)</f>
        <v/>
      </c>
    </row>
    <row r="64" ht="19" customHeight="1">
      <c r="A64" s="9" t="inlineStr">
        <is>
          <t>HD-NVR-5216T-B</t>
        </is>
      </c>
      <c r="B64" s="10" t="inlineStr">
        <is>
          <t>16 CH NVR</t>
        </is>
      </c>
      <c r="C64" s="11" t="n">
        <v>13000</v>
      </c>
      <c r="D64" s="12">
        <f>C64*(1-$B$4)</f>
        <v/>
      </c>
      <c r="E64" s="13">
        <f>ROUND(D64*(1+$E$4), 0)</f>
        <v/>
      </c>
    </row>
    <row r="65" ht="19" customHeight="1">
      <c r="A65" s="14" t="inlineStr">
        <is>
          <t>HD-NVR-5232T-A</t>
        </is>
      </c>
      <c r="B65" s="15" t="inlineStr">
        <is>
          <t>32 CH NVR</t>
        </is>
      </c>
      <c r="C65" s="16" t="n">
        <v>15000</v>
      </c>
      <c r="D65" s="17">
        <f>C65*(1-$B$4)</f>
        <v/>
      </c>
      <c r="E65" s="13">
        <f>ROUND(D65*(1+$E$4), 0)</f>
        <v/>
      </c>
    </row>
    <row r="66" ht="19" customHeight="1">
      <c r="A66" s="9" t="inlineStr">
        <is>
          <t>HD-NVR-5240T-B</t>
        </is>
      </c>
      <c r="B66" s="10" t="inlineStr">
        <is>
          <t>40 CH NVR</t>
        </is>
      </c>
      <c r="C66" s="11" t="n">
        <v>18500</v>
      </c>
      <c r="D66" s="12">
        <f>C66*(1-$B$4)</f>
        <v/>
      </c>
      <c r="E66" s="13">
        <f>ROUND(D66*(1+$E$4), 0)</f>
        <v/>
      </c>
    </row>
    <row r="67" ht="19" customHeight="1">
      <c r="A67" s="14" t="inlineStr">
        <is>
          <t>HD-NVR-7240T</t>
        </is>
      </c>
      <c r="B67" s="15" t="inlineStr">
        <is>
          <t>40 CH NVR</t>
        </is>
      </c>
      <c r="C67" s="16" t="n">
        <v>21500</v>
      </c>
      <c r="D67" s="17">
        <f>C67*(1-$B$4)</f>
        <v/>
      </c>
      <c r="E67" s="13">
        <f>ROUND(D67*(1+$E$4), 0)</f>
        <v/>
      </c>
    </row>
    <row r="68" ht="19" customHeight="1">
      <c r="A68" s="9" t="inlineStr">
        <is>
          <t>HD-NVR-5440T</t>
        </is>
      </c>
      <c r="B68" s="10" t="inlineStr">
        <is>
          <t>40 CH NVR</t>
        </is>
      </c>
      <c r="C68" s="11" t="n">
        <v>32000</v>
      </c>
      <c r="D68" s="12">
        <f>C68*(1-$B$4)</f>
        <v/>
      </c>
      <c r="E68" s="13">
        <f>ROUND(D68*(1+$E$4), 0)</f>
        <v/>
      </c>
    </row>
    <row r="69" ht="19" customHeight="1">
      <c r="A69" s="14" t="inlineStr">
        <is>
          <t>HD-NVR-7440T</t>
        </is>
      </c>
      <c r="B69" s="15" t="inlineStr">
        <is>
          <t>40 CH NVR</t>
        </is>
      </c>
      <c r="C69" s="16" t="n">
        <v>35000</v>
      </c>
      <c r="D69" s="17">
        <f>C69*(1-$B$4)</f>
        <v/>
      </c>
      <c r="E69" s="13">
        <f>ROUND(D69*(1+$E$4), 0)</f>
        <v/>
      </c>
    </row>
    <row r="70" ht="19" customHeight="1">
      <c r="A70" s="9" t="inlineStr">
        <is>
          <t>HD-NVR-7480T</t>
        </is>
      </c>
      <c r="B70" s="10" t="inlineStr">
        <is>
          <t>80 CH NVR</t>
        </is>
      </c>
      <c r="C70" s="11" t="n">
        <v>44500</v>
      </c>
      <c r="D70" s="12">
        <f>C70*(1-$B$4)</f>
        <v/>
      </c>
      <c r="E70" s="13">
        <f>ROUND(D70*(1+$E$4), 0)</f>
        <v/>
      </c>
    </row>
    <row r="71" ht="19" customHeight="1">
      <c r="A71" s="14" t="inlineStr">
        <is>
          <t>HD-NVR-5880T</t>
        </is>
      </c>
      <c r="B71" s="15" t="inlineStr">
        <is>
          <t>80 CH NVR</t>
        </is>
      </c>
      <c r="C71" s="16" t="n">
        <v>56500</v>
      </c>
      <c r="D71" s="17">
        <f>C71*(1-$B$4)</f>
        <v/>
      </c>
      <c r="E71" s="13">
        <f>ROUND(D71*(1+$E$4), 0)</f>
        <v/>
      </c>
    </row>
    <row r="73" ht="22" customHeight="1">
      <c r="A73" s="6" t="inlineStr">
        <is>
          <t>6. Velocity Series XVRs (DVRs)</t>
        </is>
      </c>
    </row>
    <row r="74" ht="20" customHeight="1">
      <c r="A74" s="7" t="inlineStr">
        <is>
          <t>Model Code</t>
        </is>
      </c>
      <c r="B74" s="7" t="inlineStr">
        <is>
          <t>Description</t>
        </is>
      </c>
      <c r="C74" s="8" t="inlineStr">
        <is>
          <t>SPP Price (₹)</t>
        </is>
      </c>
      <c r="D74" s="8" t="inlineStr">
        <is>
          <t>Excl. GST Cost (₹)</t>
        </is>
      </c>
      <c r="E74" s="8" t="inlineStr">
        <is>
          <t>Dealer Final Price (Incl. 18% GST)</t>
        </is>
      </c>
    </row>
    <row r="75" ht="19" customHeight="1">
      <c r="A75" s="9" t="inlineStr">
        <is>
          <t>HD-XVR-4104TLC</t>
        </is>
      </c>
      <c r="B75" s="10" t="inlineStr">
        <is>
          <t>4 CH Hybrid Video Recorder</t>
        </is>
      </c>
      <c r="C75" s="11" t="n">
        <v>2650</v>
      </c>
      <c r="D75" s="12">
        <f>C75*(1-$B$4)</f>
        <v/>
      </c>
      <c r="E75" s="13">
        <f>ROUND(D75*(1+$E$4), 0)</f>
        <v/>
      </c>
    </row>
    <row r="76" ht="19" customHeight="1">
      <c r="A76" s="14" t="inlineStr">
        <is>
          <t>HD-XVR-4108TLC</t>
        </is>
      </c>
      <c r="B76" s="15" t="inlineStr">
        <is>
          <t>8 CH Hybrid Video Recorder</t>
        </is>
      </c>
      <c r="C76" s="16" t="n">
        <v>3750</v>
      </c>
      <c r="D76" s="17">
        <f>C76*(1-$B$4)</f>
        <v/>
      </c>
      <c r="E76" s="13">
        <f>ROUND(D76*(1+$E$4), 0)</f>
        <v/>
      </c>
    </row>
    <row r="77" ht="19" customHeight="1">
      <c r="A77" s="9" t="inlineStr">
        <is>
          <t>HD-XVR-4116TLC</t>
        </is>
      </c>
      <c r="B77" s="10" t="inlineStr">
        <is>
          <t>16 CH Hybrid Video Recorder</t>
        </is>
      </c>
      <c r="C77" s="11" t="n">
        <v>6250</v>
      </c>
      <c r="D77" s="12">
        <f>C77*(1-$B$4)</f>
        <v/>
      </c>
      <c r="E77" s="13">
        <f>ROUND(D77*(1+$E$4), 0)</f>
        <v/>
      </c>
    </row>
    <row r="78" ht="19" customHeight="1">
      <c r="A78" s="14" t="inlineStr">
        <is>
          <t>HD-XVR-5104TLC</t>
        </is>
      </c>
      <c r="B78" s="15" t="inlineStr">
        <is>
          <t>4 CH 5MP-N Hybrid Recorder</t>
        </is>
      </c>
      <c r="C78" s="16" t="n">
        <v>3900</v>
      </c>
      <c r="D78" s="17">
        <f>C78*(1-$B$4)</f>
        <v/>
      </c>
      <c r="E78" s="13">
        <f>ROUND(D78*(1+$E$4), 0)</f>
        <v/>
      </c>
    </row>
    <row r="79" ht="19" customHeight="1">
      <c r="A79" s="9" t="inlineStr">
        <is>
          <t>HD-XVR-5108TLC</t>
        </is>
      </c>
      <c r="B79" s="10" t="inlineStr">
        <is>
          <t>8 CH 5MP-N Hybrid Recorder</t>
        </is>
      </c>
      <c r="C79" s="11" t="n">
        <v>5650</v>
      </c>
      <c r="D79" s="12">
        <f>C79*(1-$B$4)</f>
        <v/>
      </c>
      <c r="E79" s="13">
        <f>ROUND(D79*(1+$E$4), 0)</f>
        <v/>
      </c>
    </row>
    <row r="80" ht="19" customHeight="1">
      <c r="A80" s="14" t="inlineStr">
        <is>
          <t>HD-XVR-5116TLC</t>
        </is>
      </c>
      <c r="B80" s="15" t="inlineStr">
        <is>
          <t>16 CH 5MP-N Hybrid Recorder</t>
        </is>
      </c>
      <c r="C80" s="16" t="n">
        <v>10000</v>
      </c>
      <c r="D80" s="17">
        <f>C80*(1-$B$4)</f>
        <v/>
      </c>
      <c r="E80" s="13">
        <f>ROUND(D80*(1+$E$4), 0)</f>
        <v/>
      </c>
    </row>
  </sheetData>
  <mergeCells count="8">
    <mergeCell ref="A30:E30"/>
    <mergeCell ref="A1:G1"/>
    <mergeCell ref="A73:E73"/>
    <mergeCell ref="A7:E7"/>
    <mergeCell ref="A2:G2"/>
    <mergeCell ref="A37:E37"/>
    <mergeCell ref="A22:E22"/>
    <mergeCell ref="A56:E5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2026-08-04T15:02:21Z</dcterms:created>
  <dcterms:modified xmlns:dcterms="http://purl.org/dc/terms/" xmlns:xsi="http://www.w3.org/2001/XMLSchema-instance" xsi:type="dcterms:W3CDTF">2026-08-04T15:02:21Z</dcterms:modified>
</cp:coreProperties>
</file>