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rice List\"/>
    </mc:Choice>
  </mc:AlternateContent>
  <bookViews>
    <workbookView xWindow="0" yWindow="0" windowWidth="20490" windowHeight="7635"/>
  </bookViews>
  <sheets>
    <sheet name="CP Plus Dealer Rate Card" sheetId="1" r:id="rId1"/>
  </sheets>
  <calcPr calcId="152511"/>
</workbook>
</file>

<file path=xl/calcChain.xml><?xml version="1.0" encoding="utf-8"?>
<calcChain xmlns="http://schemas.openxmlformats.org/spreadsheetml/2006/main">
  <c r="E242" i="1" l="1"/>
  <c r="F242" i="1" s="1"/>
  <c r="E238" i="1"/>
  <c r="F238" i="1" s="1"/>
  <c r="E237" i="1"/>
  <c r="F237" i="1" s="1"/>
  <c r="E236" i="1"/>
  <c r="F236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0" i="1"/>
  <c r="F210" i="1" s="1"/>
  <c r="E206" i="1"/>
  <c r="F206" i="1" s="1"/>
  <c r="E202" i="1"/>
  <c r="F202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6" i="1"/>
  <c r="F186" i="1" s="1"/>
  <c r="E185" i="1"/>
  <c r="F185" i="1" s="1"/>
  <c r="E184" i="1"/>
  <c r="F184" i="1" s="1"/>
  <c r="E183" i="1"/>
  <c r="F183" i="1" s="1"/>
  <c r="E182" i="1"/>
  <c r="F182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88" i="1"/>
  <c r="F88" i="1" s="1"/>
  <c r="E87" i="1"/>
  <c r="F87" i="1" s="1"/>
  <c r="E86" i="1"/>
  <c r="F86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</calcChain>
</file>

<file path=xl/sharedStrings.xml><?xml version="1.0" encoding="utf-8"?>
<sst xmlns="http://schemas.openxmlformats.org/spreadsheetml/2006/main" count="679" uniqueCount="392">
  <si>
    <t>CP PLUS Official Dealer Price List &amp; Calculator</t>
  </si>
  <si>
    <t>Smart IT Solutions — Dealer Distribution Rate Card</t>
  </si>
  <si>
    <t>Dealer Margin Rate:</t>
  </si>
  <si>
    <t>GST Rate:</t>
  </si>
  <si>
    <t>Formula:</t>
  </si>
  <si>
    <t>Dealer Final Cost = ROUND( (NLC * (1 + Margin Rate)) * (1 + GST Rate), 0 )</t>
  </si>
  <si>
    <t>1. HD CAMERA</t>
  </si>
  <si>
    <t>Category</t>
  </si>
  <si>
    <t>Model No</t>
  </si>
  <si>
    <t>Description</t>
  </si>
  <si>
    <t>Landing Cost NLC (₹)</t>
  </si>
  <si>
    <t>Dealer Price Excl. GST (₹)</t>
  </si>
  <si>
    <t>Dealer Final Price (Incl. 18% GST)</t>
  </si>
  <si>
    <t>HD Camera</t>
  </si>
  <si>
    <t>CP-URC-DC24PL3</t>
  </si>
  <si>
    <t>HD Camera 2 MP Basic without  Mic Dome</t>
  </si>
  <si>
    <t>CP-URC-TC24PL3</t>
  </si>
  <si>
    <t>HD Camera 2 MP Basic without  Mic Bullet</t>
  </si>
  <si>
    <t>CP-URC-DC24PL3C</t>
  </si>
  <si>
    <t>HD Camera 2 MP Basic with Mic Dome</t>
  </si>
  <si>
    <t>CP-URC-TC24PL3C</t>
  </si>
  <si>
    <t>HD Camera 2 MP Basic with Mic Bullet</t>
  </si>
  <si>
    <t>CP-URC-DC24PL3C-L-0360</t>
  </si>
  <si>
    <t>HD Camera 2 MP with Mic dual Light Dome</t>
  </si>
  <si>
    <t>CP-URC-TC24PL3C-L-0360</t>
  </si>
  <si>
    <t>HD Camera 2 MP with Mic dual Light Bullet</t>
  </si>
  <si>
    <t>CP-GPC-DA24PL2C-SE</t>
  </si>
  <si>
    <t>HD Camera 2 MP with Mic Collor dome</t>
  </si>
  <si>
    <t>CP-GPC-TA24PL2C-SE</t>
  </si>
  <si>
    <t>HD Camera 2 MP with Mic Collor Bullet</t>
  </si>
  <si>
    <t>CP-USC-DC51PL3C</t>
  </si>
  <si>
    <t>HD Camera 5 MP with Mic Dome</t>
  </si>
  <si>
    <t>CP-USC-TC51PL3C</t>
  </si>
  <si>
    <t>HD Camera 5 MP with Mic Bullet</t>
  </si>
  <si>
    <t>CP-URC-DC51PL3C-L-0360</t>
  </si>
  <si>
    <t>HD Camera 5 MP with MIC Dual light Dome</t>
  </si>
  <si>
    <t>CP-URC-TC51PL3C-L-0360</t>
  </si>
  <si>
    <t>HD Camera 5 MP with MIC Dual light Bullet</t>
  </si>
  <si>
    <t>CP-GPC-DA50PL2C-SE-0360</t>
  </si>
  <si>
    <t>HD Camera 5 MP with MIC Dual light Dome-FULL COLOUR</t>
  </si>
  <si>
    <t>CP-GPC-TA50PL2C-SE-0360</t>
  </si>
  <si>
    <t>HD Camera 5 MP with MIC Dual light Bullet-FULL COLOUR</t>
  </si>
  <si>
    <t>CP-HD-UMC-DA24L4-L</t>
  </si>
  <si>
    <t>TWO WAY AUDIO 2MP</t>
  </si>
  <si>
    <t>CP-HD-UMC-TA24L3-L</t>
  </si>
  <si>
    <t>2. DVR</t>
  </si>
  <si>
    <t>DVR</t>
  </si>
  <si>
    <t>CP-UVR-0401F1V-I</t>
  </si>
  <si>
    <t>DVR 4 CH basic Model H. 265+ - 5 MP Support</t>
  </si>
  <si>
    <t>CP-UVR-0401L1-4KI3</t>
  </si>
  <si>
    <t>DVR 4 CH basic Model H. 265+ - 5 MP Support-4K</t>
  </si>
  <si>
    <t>CP-UVR-0401E1V-I</t>
  </si>
  <si>
    <t>DVR 4 CH basic Model H. 265+ 2 MP &amp; 2WAY AUDIO SUPPORT</t>
  </si>
  <si>
    <t>CP-UVR-0801F1V-I</t>
  </si>
  <si>
    <t>DVR 8 CH basic Model H. 265+ - 5 MP Support</t>
  </si>
  <si>
    <t>CP-UVR-0801L1-4KH / 4K-I3</t>
  </si>
  <si>
    <t>DVR 8 CH basic Model H. 265+ - 5 MP Support-4K</t>
  </si>
  <si>
    <t>CP-UVR-0801E1V-I</t>
  </si>
  <si>
    <t>DVR 8 CH basic Model H. 265+ 2 MP &amp; 2WAY AUDIO SUPPORT</t>
  </si>
  <si>
    <t>CP-UVR-1601E1-IC</t>
  </si>
  <si>
    <t>DVR 16 CH basic Model H. 265+ 2 MP Support</t>
  </si>
  <si>
    <t>CP-UVR-1601E1V-I</t>
  </si>
  <si>
    <t>DVR 16 CH basic Model H. 265+ - 2 MP Support &amp; 2WAY AUDIO SUPPORT</t>
  </si>
  <si>
    <t>CP-UVR-1601F1V-I</t>
  </si>
  <si>
    <t>DVR 16 CH basic Model H. 265+ - 5 MP Support &amp; 2WAY AUDIO SUPPORT</t>
  </si>
  <si>
    <t>CP-UVR-1601F1-IC</t>
  </si>
  <si>
    <t>DVR 16 CH basic Model H. 265+ - 5 MP Support</t>
  </si>
  <si>
    <t>CP-UVR-1601L1N-4KI-V2</t>
  </si>
  <si>
    <t>DVR 16 CH basic Model H. 265+ - 5 MP Support- 1 Sata 4K</t>
  </si>
  <si>
    <t>CP-UVR-3201E2-I</t>
  </si>
  <si>
    <t>DVR 32 CH basic Model H. 265+ -2 MP Support- 2 SATA</t>
  </si>
  <si>
    <t>CP-UVR-3201K2-I3-V2</t>
  </si>
  <si>
    <t>DVR 32 CH basic Model H. 265+ -5 MP Support- 2 SATA</t>
  </si>
  <si>
    <t>3. IPC</t>
  </si>
  <si>
    <t>IPC</t>
  </si>
  <si>
    <t>CP-UNC-DA21L3C-Q-0280</t>
  </si>
  <si>
    <t>IP STQC MODEL 2MP DOME</t>
  </si>
  <si>
    <t>CP-UNC-DA21L3C-Q-0360</t>
  </si>
  <si>
    <t>CP-UNC-TA21L3C-Q-0360</t>
  </si>
  <si>
    <t>IP STQC MODEL 2MP BULLET</t>
  </si>
  <si>
    <t>CP-UNC-DA21L3C-LQ-0360</t>
  </si>
  <si>
    <t>IP STQC MODEL 2MP DOME ILLUMAX</t>
  </si>
  <si>
    <t>CP-UNC-TA21L3C-LQ-0360</t>
  </si>
  <si>
    <t>IP STQC MODEL 2MP BULLET ILLUMAX</t>
  </si>
  <si>
    <t>CP-UNC-DA21L3B-LQ-0360</t>
  </si>
  <si>
    <t>IP STQC MODEL TWO WAY AUDIO DOME</t>
  </si>
  <si>
    <t>CP-UNC-TA21L3B-LQ-0360</t>
  </si>
  <si>
    <t>IP STQC MODEL TWO WAY AUDIO BULLET</t>
  </si>
  <si>
    <t>CP-UNC-TA21L6C-Q-0600</t>
  </si>
  <si>
    <t>IP STQC MODEL 2MP 60M</t>
  </si>
  <si>
    <t>CP-UNC-DA41L3C-D-Q-0360</t>
  </si>
  <si>
    <t xml:space="preserve">IP STQC MODEL 4MP DOME </t>
  </si>
  <si>
    <t>CP-UNC-TA41L3C-D-Q-0360</t>
  </si>
  <si>
    <t>IP STQC MODEL 4MP BULLET</t>
  </si>
  <si>
    <t>CP-UNC-DA41L3C-D-LQ-0360</t>
  </si>
  <si>
    <t>IP STQC MODEL 4MP DOME ILLUMAX</t>
  </si>
  <si>
    <t>CP-UNC-TA41L3C-D-LQ-0360</t>
  </si>
  <si>
    <t>IP STQC MODEL 4MP BULLET ILLUMAX</t>
  </si>
  <si>
    <t>CP-UNC-DA41L3C-Q-0360</t>
  </si>
  <si>
    <t>IP STQC MODEL 4MP DOME NO WDR</t>
  </si>
  <si>
    <t>CP-UNC-TA41L3C-Q-0360</t>
  </si>
  <si>
    <t>IP STQC MODEL 4MP BUPPET NO WDR</t>
  </si>
  <si>
    <t>CP-UNC-DA41L3C-LQ-0360</t>
  </si>
  <si>
    <t>IP STQC MODEL 4MP DOME ILLUMAX NO WDR</t>
  </si>
  <si>
    <t>CP-UNC-TA41L3C-LQ-0360</t>
  </si>
  <si>
    <t>IP STQC MODEL 4MP BULLET NO WDR</t>
  </si>
  <si>
    <t>CP-UNC-DA41L3B-D-LQ-0360</t>
  </si>
  <si>
    <t>IP STQC MODEL 4MP TWO WAY AUDIO DOME</t>
  </si>
  <si>
    <t>CP-UNC-TA41L3B-D-LQ-0360</t>
  </si>
  <si>
    <t>IP STQC MODEL 4MP BULLET TWO WAY AUDIO</t>
  </si>
  <si>
    <t>CP-UNC-TA41L6C-D-Q-0600</t>
  </si>
  <si>
    <t>IP STQC MODEL 4MP 60M</t>
  </si>
  <si>
    <t>CP-UNC-DA61L3C-LQ-0360</t>
  </si>
  <si>
    <t>IP STQC MODEL 6MP DOME ILLUMAX</t>
  </si>
  <si>
    <t>CP-UNC-TA61L3C-LQ-0360</t>
  </si>
  <si>
    <t>IP STQC MODEL 6MP BULLET ILLUMAX</t>
  </si>
  <si>
    <t>CP-UNC-DA81L3C-LQ-0360</t>
  </si>
  <si>
    <t>IP STQC MODEL 8MP DOME ILLUMAX</t>
  </si>
  <si>
    <t>CP-UNC-TA81L3C-LQ-0360</t>
  </si>
  <si>
    <t>IP STQC MODEL 8MP BULLET ILLUMAX</t>
  </si>
  <si>
    <t>4. NVR</t>
  </si>
  <si>
    <t>NVR</t>
  </si>
  <si>
    <t>CP-UNR-104F1</t>
  </si>
  <si>
    <t>NVR 4 Ch Basic 80Mbps/80Mbps up to 8 Mp Support-1 sata</t>
  </si>
  <si>
    <t>CP-UNR-108F1</t>
  </si>
  <si>
    <t>NVR 8 Ch Basic 80Mbps/80Mbps up to 8 Mp Support-1 Sata</t>
  </si>
  <si>
    <t>CP-UNR-4K2161-V4</t>
  </si>
  <si>
    <t>NVR 16 Ch Basic 80Mbps/80Mbps up to 12 Mp Support-1 Sata</t>
  </si>
  <si>
    <t>CP-UNR-4K2041-V4</t>
  </si>
  <si>
    <t>NVR 4 4KCh Basic 80Mbps/80Mbps up to 8 Mp Support-1 sata</t>
  </si>
  <si>
    <t>CP-UNR-4K2081-V4</t>
  </si>
  <si>
    <t>NVR 8 4KCh Basic 80Mbps/80Mbps up to 8 Mp Support-1 Sata</t>
  </si>
  <si>
    <t>CP-UNR-4K2162-V2</t>
  </si>
  <si>
    <t>NVR 16 ch 160Mbps/160Mbps up to 8 mp-2 Sata</t>
  </si>
  <si>
    <t>CP-UNR-4K4082-V2</t>
  </si>
  <si>
    <t>NVR 8ch 200Mbps up to 8mp-4K-2 Sata</t>
  </si>
  <si>
    <t>CP-UNR-4K4162-V3</t>
  </si>
  <si>
    <t>NVR 16 ch 160Mbps up to 8 mp-2 sata</t>
  </si>
  <si>
    <t>CP-UNR-4K4322-V3</t>
  </si>
  <si>
    <t>NVR 32 ch 160Mbps up to 8 mp-2 Sata</t>
  </si>
  <si>
    <t>CP-UNR-4K4164-I</t>
  </si>
  <si>
    <t>NVR 16 ch 256 Mbps up to 8 mp-4 Sata</t>
  </si>
  <si>
    <t>CP-UNR-4K4324-I</t>
  </si>
  <si>
    <t>NVR 32 ch 256 Mbps up to 8 mp-4 Sata</t>
  </si>
  <si>
    <t>CP-UNR-4K5644-FI</t>
  </si>
  <si>
    <t>NVR 64 Ch 320 Mbps Up to 12Mp-4 Sata</t>
  </si>
  <si>
    <t>CP-UNR-4K564R8-FI</t>
  </si>
  <si>
    <t>NVR 64 Ch 320 Mbps Up to 12Mp-8 Sata</t>
  </si>
  <si>
    <t>5. PTZ</t>
  </si>
  <si>
    <t>PTZ</t>
  </si>
  <si>
    <t>CP-UNP-D2521L10-DPQ</t>
  </si>
  <si>
    <t>PTZ 2 Mp 100M/25X</t>
  </si>
  <si>
    <t>CP-UNP-E3221L18-DAQ</t>
  </si>
  <si>
    <t>PTZ 2 Mp 180M/32X</t>
  </si>
  <si>
    <t>CP-UNP-E3241L18-DAQ</t>
  </si>
  <si>
    <t>PTZ 4 Mp 180M/32X</t>
  </si>
  <si>
    <t>6. SWITCH</t>
  </si>
  <si>
    <t>SWITCH</t>
  </si>
  <si>
    <t>CP-ANW-HP4H2-N65</t>
  </si>
  <si>
    <t>SWITCH 4+2 10/100/48W</t>
  </si>
  <si>
    <t>CP-SAVW-HPU4H2-65</t>
  </si>
  <si>
    <t>SWITCH 4+2 10/100/65W</t>
  </si>
  <si>
    <t>CP-ANW-HPU8H2-N12</t>
  </si>
  <si>
    <t>SWITCH 8+2 10/100/96W</t>
  </si>
  <si>
    <t>CP-SAVW-HPU8H2-96</t>
  </si>
  <si>
    <t>CP-DNW-HPU8G2-96-V3</t>
  </si>
  <si>
    <t>SWITCH 8+2 Uplink giga/96W</t>
  </si>
  <si>
    <t>CP-DNW-HPU16G2F1-20</t>
  </si>
  <si>
    <t>SWITCH 16+2 Uplink giga/1 SFP Port/200W</t>
  </si>
  <si>
    <t>CP-DNW-HPU24G2F1-30-V2</t>
  </si>
  <si>
    <t>SWITCH 24+2 Uplink giga/1 SFP Port/300W</t>
  </si>
  <si>
    <t>CP-DNW-GPU4G2-48C</t>
  </si>
  <si>
    <t>SWITCH 4+2 10/100/1000 /48W</t>
  </si>
  <si>
    <t xml:space="preserve"> CP-ANW-GPU8G2-N12</t>
  </si>
  <si>
    <t>SWITCH 8+2 10/100/1000 /96W</t>
  </si>
  <si>
    <t>CP-DNW-GPU8G2F2-96</t>
  </si>
  <si>
    <t>SWITCH 8+2 10/100/1000 /2 SFP Port/96W</t>
  </si>
  <si>
    <t>CP-DNW-GPU16G2F2-20</t>
  </si>
  <si>
    <t>SWITCH 16+2 10/100/1000 /2 SFP Port/200W</t>
  </si>
  <si>
    <t>CP-DNW-GPU24G2F2-30</t>
  </si>
  <si>
    <t>SWITCH 24+2 10/100/1000 /2 SFP Port/300W</t>
  </si>
  <si>
    <t>CP-ANW-GPM4F2T-N12</t>
  </si>
  <si>
    <t>SWITCH Industrial Grade-4GE+2SFP Gigabit Managed Poe</t>
  </si>
  <si>
    <t>CP-ANW-GPM8F2T-N12</t>
  </si>
  <si>
    <t>SWITCH Industrial Grade 8GE+2SFP Gigabit Managed Poe</t>
  </si>
  <si>
    <t>CP-ANW-GPM8F4T-N30</t>
  </si>
  <si>
    <t>SWITCH 8+2 Outdoor Poe 10/100-120W</t>
  </si>
  <si>
    <t>CP-ANW-GPM8F2-N12</t>
  </si>
  <si>
    <t>SWITCH 16+2(SFP) Port gigabit Managed PoE</t>
  </si>
  <si>
    <t>CP-ANW-GPM16F2-N24</t>
  </si>
  <si>
    <t>SWITCH 24+4(Giga)+4(SFP) Port gigabit Managed PoE</t>
  </si>
  <si>
    <t>CP-ANW-GPM24G4F4-N40</t>
  </si>
  <si>
    <t>SWITCH 24+4(SFP) Port gigabit Managed PoE,L3</t>
  </si>
  <si>
    <t>CP-DNW-GPM24F4-40-L3</t>
  </si>
  <si>
    <t>SWITCH 8 Port Gigabit Switch</t>
  </si>
  <si>
    <t>7. POWER SUPPLY</t>
  </si>
  <si>
    <t>Power Supply</t>
  </si>
  <si>
    <t>CP-DPS-MD50P-12D</t>
  </si>
  <si>
    <t>Power Supply 5 Amps-Metal</t>
  </si>
  <si>
    <t>CP-DPS-MD100P-12D</t>
  </si>
  <si>
    <t>Power Supply 10 amps-Metal</t>
  </si>
  <si>
    <t>CP-DPS-MD200P-12D</t>
  </si>
  <si>
    <t>Power Supply 20 Amps-Metal</t>
  </si>
  <si>
    <t>CP-CPS-PD04-12D</t>
  </si>
  <si>
    <t>Power Supply 4 ch smps-Plastic With Power cord - Individual Output</t>
  </si>
  <si>
    <t>CP-CPS-PD08-12D</t>
  </si>
  <si>
    <t>Power Supply 8 ch smps-Plastic With Power cord - Individual Output</t>
  </si>
  <si>
    <t>CP-DPS-PD04-V3-12D</t>
  </si>
  <si>
    <t>Individual Output</t>
  </si>
  <si>
    <t>CP-DPS-PD08-V3-12D</t>
  </si>
  <si>
    <t>CP-DPS-PD04-V2-12D</t>
  </si>
  <si>
    <t>Power Supply 4 ch smps-Plastic</t>
  </si>
  <si>
    <t>CP-DPS-PD08-V2-12D</t>
  </si>
  <si>
    <t>Power Supply 8 ch smps-Plastic</t>
  </si>
  <si>
    <t>CP-DPS-PD16-V2-12D</t>
  </si>
  <si>
    <t>Power Supply 16 ch smps-Plastic</t>
  </si>
  <si>
    <t>CP-YPS-PD04-52D</t>
  </si>
  <si>
    <t xml:space="preserve"> Industrial Grade 4 CH</t>
  </si>
  <si>
    <t>CP-YPS-PD08-52D</t>
  </si>
  <si>
    <t xml:space="preserve"> Industrial Grade 8 CH</t>
  </si>
  <si>
    <t>8. CABLE</t>
  </si>
  <si>
    <t>CABLE</t>
  </si>
  <si>
    <t>CP-ECC-70R</t>
  </si>
  <si>
    <t>CABLE 3+1 70M Economy</t>
  </si>
  <si>
    <t>CP-ECC-70RS</t>
  </si>
  <si>
    <t>CABLE 3+1 70M Standard</t>
  </si>
  <si>
    <t>CP-ECC-90R</t>
  </si>
  <si>
    <t>CABLE 3+1 90M Economy</t>
  </si>
  <si>
    <t>CP-ECC-90RS</t>
  </si>
  <si>
    <t>CABLE 3+1 90M Standard</t>
  </si>
  <si>
    <t>CP-ECC-180RS</t>
  </si>
  <si>
    <t>CABLE 3+1 180M Standard</t>
  </si>
  <si>
    <t>CP-ECC-90RM</t>
  </si>
  <si>
    <t>CABLE 3+1 90M Premium</t>
  </si>
  <si>
    <t>CP-ECC-90RSO</t>
  </si>
  <si>
    <t xml:space="preserve">CABLE 3+1 90M Outdoor </t>
  </si>
  <si>
    <t>CP-ECC-180RSO</t>
  </si>
  <si>
    <t xml:space="preserve">CABLE 3+1 180M Outdoor </t>
  </si>
  <si>
    <t>9. CAT6</t>
  </si>
  <si>
    <t>CAT6</t>
  </si>
  <si>
    <t>CP-EUT-6TGL23-305</t>
  </si>
  <si>
    <t>CAT6 Full Copper Indoor 305M 24AWG</t>
  </si>
  <si>
    <t>CP-EUT-6TGL23-100</t>
  </si>
  <si>
    <t>CAT6 Full Copper Indoor 100M</t>
  </si>
  <si>
    <t>CP-EUT-6TGL-305</t>
  </si>
  <si>
    <t>CAT6 Full Copper Indoor 305M 23AWG</t>
  </si>
  <si>
    <t>CP-EUT-6TGLA-305</t>
  </si>
  <si>
    <t>CP-EUT-6TSRH-305</t>
  </si>
  <si>
    <t>CAT6 Eco Series Indoor 305M</t>
  </si>
  <si>
    <t>CP-FUT-6TSRH-305</t>
  </si>
  <si>
    <t>CP-FUT-6TSRH-100</t>
  </si>
  <si>
    <t>CAT6 Eco Series Indoor 100M</t>
  </si>
  <si>
    <t>CP-EUT-6TSRH-100</t>
  </si>
  <si>
    <t>CP-EUT-6TSRD-305</t>
  </si>
  <si>
    <t>CAT6 Eco Series Double Jacket Cable 305M</t>
  </si>
  <si>
    <t>CP-EUT-6TSRD-100</t>
  </si>
  <si>
    <t>CAT6  Eco Series Double Jacket CABLE 100M</t>
  </si>
  <si>
    <t>CP-EST-6TGD23-305</t>
  </si>
  <si>
    <t>CAT6  Full copper Double Jacket CABLE 305M</t>
  </si>
  <si>
    <t>CP-EST-6TGA-305</t>
  </si>
  <si>
    <t xml:space="preserve">CAT6  23AWG CABLE (ARMORED) </t>
  </si>
  <si>
    <t>CP-EST-6TGA-305V1</t>
  </si>
  <si>
    <t xml:space="preserve">CAT6 24AWG CABLE (ARMORED) </t>
  </si>
  <si>
    <t>CP-EST-6TGD23-100</t>
  </si>
  <si>
    <t>CAT6  Full copper Double Jacket CABLE 100M</t>
  </si>
  <si>
    <t>CP-EUT-6TP1</t>
  </si>
  <si>
    <t>CAT6 Patch Cord 24AWG(1 M Length)</t>
  </si>
  <si>
    <t>CP-EUT-6TP2</t>
  </si>
  <si>
    <t>CAT6 Patch Cord 24AWG(2 M Length)</t>
  </si>
  <si>
    <t>10. RACK</t>
  </si>
  <si>
    <t>RACK</t>
  </si>
  <si>
    <t>CP-HA-RK3535VM-2U</t>
  </si>
  <si>
    <t>RACK - Modular Mini 2U Size  (350MM x 350MM)</t>
  </si>
  <si>
    <t>CP-HA-RK4535VM-2U</t>
  </si>
  <si>
    <t>RACK - Modular 2U Size (450MM x 350MM)</t>
  </si>
  <si>
    <t>CP-HA-RK4535VW-2U</t>
  </si>
  <si>
    <t>RACK - Welded 2U Size  PDU (3 sockets) (450MM x 350MM)</t>
  </si>
  <si>
    <t>CP-HA-RK4535VW-3U</t>
  </si>
  <si>
    <t>RACK - Welded 3U size Fixed Tray &amp; PDU (3 sockets) (450MM x 350MM)</t>
  </si>
  <si>
    <t>CP-HA-RK4535VM-4U</t>
  </si>
  <si>
    <t>RACK - Modular 4U Size  (450MM x 350MM)</t>
  </si>
  <si>
    <t>CP-HA-RK5535VM-4U</t>
  </si>
  <si>
    <t>RACK - Modular 4U Size  (550MM x 350MM)</t>
  </si>
  <si>
    <t>CP-HA-RK5535VW-4UN1P</t>
  </si>
  <si>
    <t>RACK - Welded  4U Size  PDU 3 Socket (550MM x 350MM)</t>
  </si>
  <si>
    <t>CP-HA-RK5535VW-4U</t>
  </si>
  <si>
    <t>RACK - Welded   4U Size  (550MM x 400MM)</t>
  </si>
  <si>
    <t>CP-TA-RK5540-4U</t>
  </si>
  <si>
    <t>RACK 4U 400D, Tray (220 mm width ) ,PDU 5 amp(6 sockets) (550MM x 400MM)</t>
  </si>
  <si>
    <t>CP-TA-RK5550-6U</t>
  </si>
  <si>
    <t>RACK 6U 500D  Tray (220 mm width ),PDU 5 amp(6 sockets) ,cooling Fan  (550MM x 500MM)</t>
  </si>
  <si>
    <t>CP-TA-RK5550-9U</t>
  </si>
  <si>
    <t>RACK  9U 500D Tray (350mm depth) cooling Fan  PDU 5AMP, 6 socket (550MM x 500MM)</t>
  </si>
  <si>
    <t>CP-TA-RK5563-9U</t>
  </si>
  <si>
    <t>RACK 9U 630D,1U cable Manager,cooling Fan, PDU 
5AMP 6 socket(550MM x 630MM)</t>
  </si>
  <si>
    <t>CP-TA-RK5563-12UL</t>
  </si>
  <si>
    <t>RACK  12U 630D cable Manager ,Tray, cooling Fan, 6 socket PDU(550MM x 630MM)</t>
  </si>
  <si>
    <t>CP-HA-RK5550-12L</t>
  </si>
  <si>
    <t>RACK  12U 550D cable Manager ,Tray, cooling 
Fan, 6 socket PDU(550MM x 500MM)</t>
  </si>
  <si>
    <t>CP-HA-RK5550-15L</t>
  </si>
  <si>
    <t>RACK 15U 550D,Tray,Cable Manager  cooling 
Fan, 6 socket PDU(550MM x 500MM)</t>
  </si>
  <si>
    <t>CP-HA-RK6010-24U</t>
  </si>
  <si>
    <t>,1U Cable Manager,Hardware Kit</t>
  </si>
  <si>
    <t>CP-HA-RK6010-42U</t>
  </si>
  <si>
    <t>RACK  42U 1000D, tray ,Cooling Fan, PDU ,1U Cable manager
with 5 sockets</t>
  </si>
  <si>
    <t>CP-BA-RK5545M-6U</t>
  </si>
  <si>
    <t>Wall Mount Modular Rack 6U Size; with Glass Door, Lock n key - (550MM x 450MM)</t>
  </si>
  <si>
    <t>CP-BA-RK5550M-9U</t>
  </si>
  <si>
    <t>Wall Mount Modular Rack 9U Size; with Glass Door, Lock n key - (550MM x 500MM)</t>
  </si>
  <si>
    <t>CP-BA-RK5550M-12U</t>
  </si>
  <si>
    <t>Wall Mount Modular Rack 1 2U Size; with Glass Door, Lock n key - (550MM x 500MM)</t>
  </si>
  <si>
    <t>11. OUTDOOR RACK</t>
  </si>
  <si>
    <t>OUTDOOR RACK</t>
  </si>
  <si>
    <t>CP-HA-RK4535-2UO</t>
  </si>
  <si>
    <t>OUTDOOR RACK 2U 350D (450MM x 350MM)</t>
  </si>
  <si>
    <t>CP-BA-RK4535-2UO</t>
  </si>
  <si>
    <t>CP-BA-RK5035-4UO</t>
  </si>
  <si>
    <t>OUTDOOR RACK 4U 350D (450MM x 350MM)</t>
  </si>
  <si>
    <t>CP-BA-RK5545-6UO</t>
  </si>
  <si>
    <t>OUTDOOR RACK  6U 450D,Cooling Fan, PDU 
5AMP, 6 socket, Tray(550MM x 450MM)</t>
  </si>
  <si>
    <t>CP-HA-RK5550-9UO</t>
  </si>
  <si>
    <t>OUTDOOR RACK  9U IP56 Rated, 550D Cooling Fan - 2pc, PDU 5AMP, 6 socket</t>
  </si>
  <si>
    <t>12. RACK - MINI</t>
  </si>
  <si>
    <t>RACK - Mini</t>
  </si>
  <si>
    <t>CP-HA-RK3535VW-2U-T</t>
  </si>
  <si>
    <t>RACK - Welded Mini 2U (350MM x 350MM)</t>
  </si>
  <si>
    <t>CP-HA-RK4535VW-2U-T</t>
  </si>
  <si>
    <t>RACK - Welded Mini 2U (450MM x 350MM)</t>
  </si>
  <si>
    <t>CP-HA-RK5535VW-4U-T</t>
  </si>
  <si>
    <t>RACK - Welded Mini  4U (550MM x 350MM)</t>
  </si>
  <si>
    <t>CP-HA-RK3535VM-2U-T (Lite)</t>
  </si>
  <si>
    <t>RACK - Modular Mini  2U (350MM x 350MM)</t>
  </si>
  <si>
    <t>CP-HA-RK4535VM-4U-T</t>
  </si>
  <si>
    <t>RACK - Modular Mini 4U (450MM x 350MM)</t>
  </si>
  <si>
    <t>CP-HA-RK3535VW-2U-TP</t>
  </si>
  <si>
    <t>Wall Mount Rack 2U Size; with a crylic fiber glass door ; lock n key (350MM x 350MM) -lite series, WITH PDU</t>
  </si>
  <si>
    <t>CP-HA-RK4535VW-2U-TP</t>
  </si>
  <si>
    <t>Wall Mount Rack 2U Size; with a crylic fiber glass door ; lock n key (450MM x 350MM) -lite series, WITH PDU</t>
  </si>
  <si>
    <t>CP-HA-RK4535VW-3U-TP</t>
  </si>
  <si>
    <t>Wall Mount Rack 3U Size; with a crylic fiber glass door ; lock n key (450MM x 350MM) -lite series, WITH FIXED TRAY &amp;PDU</t>
  </si>
  <si>
    <t>CP-HA-RK5035VW-4U-TP</t>
  </si>
  <si>
    <t>RACK - Welded Mini 4U (500MM x 350MM) - with PDU</t>
  </si>
  <si>
    <t>13. BNC</t>
  </si>
  <si>
    <t>BNC</t>
  </si>
  <si>
    <t>CP-FA-CB6-20</t>
  </si>
  <si>
    <t>14. DC</t>
  </si>
  <si>
    <t>DC</t>
  </si>
  <si>
    <t>CP-FA-CD6-40</t>
  </si>
  <si>
    <t>15. RJ45 JACK</t>
  </si>
  <si>
    <t>RJ45 JACK</t>
  </si>
  <si>
    <t>CP-FA-CR6-100</t>
  </si>
  <si>
    <t>16. SD CARD</t>
  </si>
  <si>
    <t>SD Card</t>
  </si>
  <si>
    <t>CP-NM64</t>
  </si>
  <si>
    <t>SD Card 64Gb</t>
  </si>
  <si>
    <t>CP-NM128</t>
  </si>
  <si>
    <t>SD Card 128Gb</t>
  </si>
  <si>
    <t>CP-NM256</t>
  </si>
  <si>
    <t>SD Card 256Gb</t>
  </si>
  <si>
    <t>CP-NM512</t>
  </si>
  <si>
    <t>SD Card 512Gb</t>
  </si>
  <si>
    <t>CP-UM64C</t>
  </si>
  <si>
    <t>CP-UM128C</t>
  </si>
  <si>
    <t>CP-UM256C</t>
  </si>
  <si>
    <t>17. EZYKAM</t>
  </si>
  <si>
    <t>EZYKAM</t>
  </si>
  <si>
    <t>CP-E28Q</t>
  </si>
  <si>
    <t>EZYKAM 2 Mp Indoor PT</t>
  </si>
  <si>
    <t xml:space="preserve">CP-E31Q </t>
  </si>
  <si>
    <t>EZYKAM 3 Mp Indoor PT</t>
  </si>
  <si>
    <t xml:space="preserve">CP-E38Q </t>
  </si>
  <si>
    <t>CP-E41Q</t>
  </si>
  <si>
    <t>EZYKAM 4 Mp Indoor PT</t>
  </si>
  <si>
    <t>CP-E48Q</t>
  </si>
  <si>
    <t>CP-Z43Q</t>
  </si>
  <si>
    <t>EZYKAM 4 Mp Bullet PT</t>
  </si>
  <si>
    <t>CP-Z45Q</t>
  </si>
  <si>
    <t>CP-E21Q</t>
  </si>
  <si>
    <t>EZ-P34Q</t>
  </si>
  <si>
    <t>EZYKAM 3 Mp Indoor PT-Ezylite</t>
  </si>
  <si>
    <t>18. 4G EZYKAM</t>
  </si>
  <si>
    <t>4G EZYKAM</t>
  </si>
  <si>
    <t>EZ-R33T</t>
  </si>
  <si>
    <t>4G EZYKAM 3Mp 4G+Wifi Bullet Fixed</t>
  </si>
  <si>
    <t>EZ-M32T</t>
  </si>
  <si>
    <t>4G EZYKAM 3Mp 4G Dome Fixed</t>
  </si>
  <si>
    <t>EZ-S35T</t>
  </si>
  <si>
    <t>4G EZYKAM 4Mp 4G Bullet PT/Color/Dual Lens</t>
  </si>
  <si>
    <t>19. SOLAR PANEL</t>
  </si>
  <si>
    <t>SOLAR PANEL</t>
  </si>
  <si>
    <t>CP-SL06K</t>
  </si>
  <si>
    <t>4G SOLAR PANEL KIT WITH BULIT IN BATTERY 30W OUTPUT BACKUP 12HRS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</si>
</sst>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\₹#,##0.00"/>
    <numFmt numFmtId="166" formatCode="\₹#,##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E2E8F0"/>
      <name val="Segoe UI"/>
    </font>
    <font>
      <b/>
      <sz val="10"/>
      <color rgb="FF334155"/>
      <name val="Segoe UI"/>
    </font>
    <font>
      <b/>
      <sz val="10"/>
      <color rgb="FF0369A1"/>
      <name val="Segoe UI"/>
    </font>
    <font>
      <i/>
      <sz val="9"/>
      <color rgb="FF64748B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sz val="10"/>
      <color rgb="FF1E293B"/>
      <name val="Segoe UI"/>
    </font>
    <font>
      <b/>
      <sz val="10"/>
      <color rgb="FF0F172A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0F9FF"/>
        <bgColor rgb="FFF0F9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5" fontId="8" fillId="0" borderId="1" xfId="0" applyNumberFormat="1" applyFont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165" fontId="8" fillId="6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Views>
    <sheetView tabSelected="1" workbookViewId="0">
      <selection activeCell="F11" sqref="F11"/>
    </sheetView>
  </sheetViews>
  <sheetFormatPr defaultRowHeight="15" x14ac:dyDescent="0.25"/>
  <cols>
    <col min="1" max="1" width="18" customWidth="1"/>
    <col min="2" max="2" width="22" customWidth="1"/>
    <col min="3" max="3" width="45" customWidth="1"/>
    <col min="4" max="4" width="12.7109375" customWidth="1"/>
    <col min="5" max="5" width="25" customWidth="1"/>
    <col min="6" max="6" width="28" customWidth="1"/>
  </cols>
  <sheetData>
    <row r="1" spans="1:6" ht="24.95" customHeight="1" x14ac:dyDescent="0.25">
      <c r="A1" s="16" t="s">
        <v>0</v>
      </c>
      <c r="B1" s="14"/>
      <c r="C1" s="14"/>
      <c r="D1" s="14"/>
      <c r="E1" s="14"/>
      <c r="F1" s="14"/>
    </row>
    <row r="2" spans="1:6" ht="18" customHeight="1" x14ac:dyDescent="0.25">
      <c r="A2" s="15" t="s">
        <v>1</v>
      </c>
      <c r="B2" s="14"/>
      <c r="C2" s="14"/>
      <c r="D2" s="14"/>
      <c r="E2" s="14"/>
      <c r="F2" s="14"/>
    </row>
    <row r="4" spans="1:6" x14ac:dyDescent="0.25">
      <c r="A4" s="1" t="s">
        <v>2</v>
      </c>
      <c r="B4" s="2">
        <v>0.08</v>
      </c>
      <c r="D4" s="1" t="s">
        <v>3</v>
      </c>
      <c r="E4" s="2">
        <v>0.18</v>
      </c>
    </row>
    <row r="5" spans="1:6" x14ac:dyDescent="0.25">
      <c r="A5" s="1" t="s">
        <v>4</v>
      </c>
      <c r="B5" s="3" t="s">
        <v>5</v>
      </c>
    </row>
    <row r="7" spans="1:6" ht="21.95" customHeight="1" x14ac:dyDescent="0.25">
      <c r="A7" s="13" t="s">
        <v>6</v>
      </c>
      <c r="B7" s="14"/>
      <c r="C7" s="14"/>
      <c r="D7" s="14"/>
      <c r="E7" s="14"/>
      <c r="F7" s="14"/>
    </row>
    <row r="8" spans="1:6" ht="20.100000000000001" customHeight="1" x14ac:dyDescent="0.25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5" t="s">
        <v>12</v>
      </c>
    </row>
    <row r="9" spans="1:6" ht="18.95" customHeight="1" x14ac:dyDescent="0.25">
      <c r="A9" s="6" t="s">
        <v>13</v>
      </c>
      <c r="B9" s="7" t="s">
        <v>14</v>
      </c>
      <c r="C9" s="6" t="s">
        <v>15</v>
      </c>
      <c r="D9" s="8">
        <v>652.81500000000005</v>
      </c>
      <c r="E9" s="8">
        <f t="shared" ref="E9:E24" si="0">D9*(1+$B$4)</f>
        <v>705.04020000000014</v>
      </c>
      <c r="F9" s="9">
        <f t="shared" ref="F9:F24" si="1">ROUND(E9*(1+$E$4), 0)</f>
        <v>832</v>
      </c>
    </row>
    <row r="10" spans="1:6" ht="18.95" customHeight="1" x14ac:dyDescent="0.25">
      <c r="A10" s="10" t="s">
        <v>13</v>
      </c>
      <c r="B10" s="11" t="s">
        <v>16</v>
      </c>
      <c r="C10" s="10" t="s">
        <v>17</v>
      </c>
      <c r="D10" s="12">
        <v>713.74439999999993</v>
      </c>
      <c r="E10" s="12">
        <f t="shared" si="0"/>
        <v>770.84395199999994</v>
      </c>
      <c r="F10" s="9">
        <f t="shared" si="1"/>
        <v>910</v>
      </c>
    </row>
    <row r="11" spans="1:6" ht="18.95" customHeight="1" x14ac:dyDescent="0.25">
      <c r="A11" s="6" t="s">
        <v>13</v>
      </c>
      <c r="B11" s="7" t="s">
        <v>18</v>
      </c>
      <c r="C11" s="6" t="s">
        <v>19</v>
      </c>
      <c r="D11" s="8">
        <v>792.08219999999994</v>
      </c>
      <c r="E11" s="8">
        <f t="shared" si="0"/>
        <v>855.44877599999995</v>
      </c>
      <c r="F11" s="9">
        <f t="shared" si="1"/>
        <v>1009</v>
      </c>
    </row>
    <row r="12" spans="1:6" ht="18.95" customHeight="1" x14ac:dyDescent="0.25">
      <c r="A12" s="10" t="s">
        <v>13</v>
      </c>
      <c r="B12" s="11" t="s">
        <v>20</v>
      </c>
      <c r="C12" s="10" t="s">
        <v>21</v>
      </c>
      <c r="D12" s="12">
        <v>853.01160000000004</v>
      </c>
      <c r="E12" s="12">
        <f t="shared" si="0"/>
        <v>921.2525280000001</v>
      </c>
      <c r="F12" s="9">
        <f t="shared" si="1"/>
        <v>1087</v>
      </c>
    </row>
    <row r="13" spans="1:6" ht="18.95" customHeight="1" x14ac:dyDescent="0.25">
      <c r="A13" s="6" t="s">
        <v>13</v>
      </c>
      <c r="B13" s="7" t="s">
        <v>22</v>
      </c>
      <c r="C13" s="6" t="s">
        <v>23</v>
      </c>
      <c r="D13" s="8">
        <v>1035.7998</v>
      </c>
      <c r="E13" s="8">
        <f t="shared" si="0"/>
        <v>1118.6637840000001</v>
      </c>
      <c r="F13" s="9">
        <f t="shared" si="1"/>
        <v>1320</v>
      </c>
    </row>
    <row r="14" spans="1:6" ht="18.95" customHeight="1" x14ac:dyDescent="0.25">
      <c r="A14" s="10" t="s">
        <v>13</v>
      </c>
      <c r="B14" s="11" t="s">
        <v>24</v>
      </c>
      <c r="C14" s="10" t="s">
        <v>25</v>
      </c>
      <c r="D14" s="12">
        <v>1083.6729</v>
      </c>
      <c r="E14" s="12">
        <f t="shared" si="0"/>
        <v>1170.3667320000002</v>
      </c>
      <c r="F14" s="9">
        <f t="shared" si="1"/>
        <v>1381</v>
      </c>
    </row>
    <row r="15" spans="1:6" ht="18.95" customHeight="1" x14ac:dyDescent="0.25">
      <c r="A15" s="6" t="s">
        <v>13</v>
      </c>
      <c r="B15" s="7" t="s">
        <v>26</v>
      </c>
      <c r="C15" s="6" t="s">
        <v>27</v>
      </c>
      <c r="D15" s="8">
        <v>1250.7642000000001</v>
      </c>
      <c r="E15" s="8">
        <f t="shared" si="0"/>
        <v>1350.8253360000001</v>
      </c>
      <c r="F15" s="9">
        <f t="shared" si="1"/>
        <v>1594</v>
      </c>
    </row>
    <row r="16" spans="1:6" ht="18.95" customHeight="1" x14ac:dyDescent="0.25">
      <c r="A16" s="10" t="s">
        <v>13</v>
      </c>
      <c r="B16" s="11" t="s">
        <v>28</v>
      </c>
      <c r="C16" s="10" t="s">
        <v>29</v>
      </c>
      <c r="D16" s="12">
        <v>1301.8158000000001</v>
      </c>
      <c r="E16" s="12">
        <f t="shared" si="0"/>
        <v>1405.9610640000001</v>
      </c>
      <c r="F16" s="9">
        <f t="shared" si="1"/>
        <v>1659</v>
      </c>
    </row>
    <row r="17" spans="1:6" ht="18.95" customHeight="1" x14ac:dyDescent="0.25">
      <c r="A17" s="6" t="s">
        <v>13</v>
      </c>
      <c r="B17" s="7" t="s">
        <v>30</v>
      </c>
      <c r="C17" s="6" t="s">
        <v>31</v>
      </c>
      <c r="D17" s="8">
        <v>1093.3551</v>
      </c>
      <c r="E17" s="8">
        <f t="shared" si="0"/>
        <v>1180.8235080000002</v>
      </c>
      <c r="F17" s="9">
        <f t="shared" si="1"/>
        <v>1393</v>
      </c>
    </row>
    <row r="18" spans="1:6" ht="18.95" customHeight="1" x14ac:dyDescent="0.25">
      <c r="A18" s="10" t="s">
        <v>13</v>
      </c>
      <c r="B18" s="11" t="s">
        <v>32</v>
      </c>
      <c r="C18" s="10" t="s">
        <v>33</v>
      </c>
      <c r="D18" s="12">
        <v>1144.4067</v>
      </c>
      <c r="E18" s="12">
        <f t="shared" si="0"/>
        <v>1235.9592360000001</v>
      </c>
      <c r="F18" s="9">
        <f t="shared" si="1"/>
        <v>1458</v>
      </c>
    </row>
    <row r="19" spans="1:6" ht="18.95" customHeight="1" x14ac:dyDescent="0.25">
      <c r="A19" s="6" t="s">
        <v>13</v>
      </c>
      <c r="B19" s="7" t="s">
        <v>34</v>
      </c>
      <c r="C19" s="6" t="s">
        <v>35</v>
      </c>
      <c r="D19" s="8">
        <v>1340.1044999999999</v>
      </c>
      <c r="E19" s="8">
        <f t="shared" si="0"/>
        <v>1447.31286</v>
      </c>
      <c r="F19" s="9">
        <f t="shared" si="1"/>
        <v>1708</v>
      </c>
    </row>
    <row r="20" spans="1:6" ht="18.95" customHeight="1" x14ac:dyDescent="0.25">
      <c r="A20" s="10" t="s">
        <v>13</v>
      </c>
      <c r="B20" s="11" t="s">
        <v>36</v>
      </c>
      <c r="C20" s="10" t="s">
        <v>37</v>
      </c>
      <c r="D20" s="12">
        <v>1391.1560999999999</v>
      </c>
      <c r="E20" s="12">
        <f t="shared" si="0"/>
        <v>1502.448588</v>
      </c>
      <c r="F20" s="9">
        <f t="shared" si="1"/>
        <v>1773</v>
      </c>
    </row>
    <row r="21" spans="1:6" ht="18.95" customHeight="1" x14ac:dyDescent="0.25">
      <c r="A21" s="6" t="s">
        <v>13</v>
      </c>
      <c r="B21" s="7" t="s">
        <v>38</v>
      </c>
      <c r="C21" s="6" t="s">
        <v>39</v>
      </c>
      <c r="D21" s="8">
        <v>1493.2592999999999</v>
      </c>
      <c r="E21" s="8">
        <f t="shared" si="0"/>
        <v>1612.7200440000001</v>
      </c>
      <c r="F21" s="9">
        <f t="shared" si="1"/>
        <v>1903</v>
      </c>
    </row>
    <row r="22" spans="1:6" ht="18.95" customHeight="1" x14ac:dyDescent="0.25">
      <c r="A22" s="10" t="s">
        <v>13</v>
      </c>
      <c r="B22" s="11" t="s">
        <v>40</v>
      </c>
      <c r="C22" s="10" t="s">
        <v>41</v>
      </c>
      <c r="D22" s="12">
        <v>1540.0565999999999</v>
      </c>
      <c r="E22" s="12">
        <f t="shared" si="0"/>
        <v>1663.2611280000001</v>
      </c>
      <c r="F22" s="9">
        <f t="shared" si="1"/>
        <v>1963</v>
      </c>
    </row>
    <row r="23" spans="1:6" ht="18.95" customHeight="1" x14ac:dyDescent="0.25">
      <c r="A23" s="6" t="s">
        <v>13</v>
      </c>
      <c r="B23" s="7" t="s">
        <v>42</v>
      </c>
      <c r="C23" s="6" t="s">
        <v>43</v>
      </c>
      <c r="D23" s="8">
        <v>1144.6023</v>
      </c>
      <c r="E23" s="8">
        <f t="shared" si="0"/>
        <v>1236.170484</v>
      </c>
      <c r="F23" s="9">
        <f t="shared" si="1"/>
        <v>1459</v>
      </c>
    </row>
    <row r="24" spans="1:6" ht="18.95" customHeight="1" x14ac:dyDescent="0.25">
      <c r="A24" s="10" t="s">
        <v>13</v>
      </c>
      <c r="B24" s="11" t="s">
        <v>44</v>
      </c>
      <c r="C24" s="10" t="s">
        <v>43</v>
      </c>
      <c r="D24" s="12">
        <v>1192.4754</v>
      </c>
      <c r="E24" s="12">
        <f t="shared" si="0"/>
        <v>1287.8734320000001</v>
      </c>
      <c r="F24" s="9">
        <f t="shared" si="1"/>
        <v>1520</v>
      </c>
    </row>
    <row r="26" spans="1:6" ht="21.95" customHeight="1" x14ac:dyDescent="0.25">
      <c r="A26" s="13" t="s">
        <v>45</v>
      </c>
      <c r="B26" s="14"/>
      <c r="C26" s="14"/>
      <c r="D26" s="14"/>
      <c r="E26" s="14"/>
      <c r="F26" s="14"/>
    </row>
    <row r="27" spans="1:6" ht="20.100000000000001" customHeight="1" x14ac:dyDescent="0.25">
      <c r="A27" s="4" t="s">
        <v>7</v>
      </c>
      <c r="B27" s="4" t="s">
        <v>8</v>
      </c>
      <c r="C27" s="4" t="s">
        <v>9</v>
      </c>
      <c r="D27" s="5" t="s">
        <v>10</v>
      </c>
      <c r="E27" s="5" t="s">
        <v>11</v>
      </c>
      <c r="F27" s="5" t="s">
        <v>12</v>
      </c>
    </row>
    <row r="28" spans="1:6" ht="18.95" customHeight="1" x14ac:dyDescent="0.25">
      <c r="A28" s="6" t="s">
        <v>46</v>
      </c>
      <c r="B28" s="7" t="s">
        <v>47</v>
      </c>
      <c r="C28" s="6" t="s">
        <v>48</v>
      </c>
      <c r="D28" s="8">
        <v>4400.2420597800001</v>
      </c>
      <c r="E28" s="8">
        <f t="shared" ref="E28:E40" si="2">D28*(1+$B$4)</f>
        <v>4752.2614245624009</v>
      </c>
      <c r="F28" s="9">
        <f t="shared" ref="F28:F40" si="3">ROUND(E28*(1+$E$4), 0)</f>
        <v>5608</v>
      </c>
    </row>
    <row r="29" spans="1:6" ht="18.95" customHeight="1" x14ac:dyDescent="0.25">
      <c r="A29" s="10" t="s">
        <v>46</v>
      </c>
      <c r="B29" s="11" t="s">
        <v>49</v>
      </c>
      <c r="C29" s="10" t="s">
        <v>50</v>
      </c>
      <c r="D29" s="12">
        <v>4725.9404999999997</v>
      </c>
      <c r="E29" s="12">
        <f t="shared" si="2"/>
        <v>5104.0157399999998</v>
      </c>
      <c r="F29" s="9">
        <f t="shared" si="3"/>
        <v>6023</v>
      </c>
    </row>
    <row r="30" spans="1:6" ht="18.95" customHeight="1" x14ac:dyDescent="0.25">
      <c r="A30" s="6" t="s">
        <v>46</v>
      </c>
      <c r="B30" s="7" t="s">
        <v>51</v>
      </c>
      <c r="C30" s="6" t="s">
        <v>52</v>
      </c>
      <c r="D30" s="8">
        <v>2875.0547077199999</v>
      </c>
      <c r="E30" s="8">
        <f t="shared" si="2"/>
        <v>3105.0590843375999</v>
      </c>
      <c r="F30" s="9">
        <f t="shared" si="3"/>
        <v>3664</v>
      </c>
    </row>
    <row r="31" spans="1:6" ht="18.95" customHeight="1" x14ac:dyDescent="0.25">
      <c r="A31" s="10" t="s">
        <v>46</v>
      </c>
      <c r="B31" s="11" t="s">
        <v>53</v>
      </c>
      <c r="C31" s="10" t="s">
        <v>54</v>
      </c>
      <c r="D31" s="12">
        <v>6199.7735219400001</v>
      </c>
      <c r="E31" s="12">
        <f t="shared" si="2"/>
        <v>6695.7554036952006</v>
      </c>
      <c r="F31" s="9">
        <f t="shared" si="3"/>
        <v>7901</v>
      </c>
    </row>
    <row r="32" spans="1:6" ht="18.95" customHeight="1" x14ac:dyDescent="0.25">
      <c r="A32" s="6" t="s">
        <v>46</v>
      </c>
      <c r="B32" s="7" t="s">
        <v>55</v>
      </c>
      <c r="C32" s="6" t="s">
        <v>56</v>
      </c>
      <c r="D32" s="8">
        <v>8175.8355000000001</v>
      </c>
      <c r="E32" s="8">
        <f t="shared" si="2"/>
        <v>8829.9023400000005</v>
      </c>
      <c r="F32" s="9">
        <f t="shared" si="3"/>
        <v>10419</v>
      </c>
    </row>
    <row r="33" spans="1:6" ht="18.95" customHeight="1" x14ac:dyDescent="0.25">
      <c r="A33" s="10" t="s">
        <v>46</v>
      </c>
      <c r="B33" s="11" t="s">
        <v>57</v>
      </c>
      <c r="C33" s="10" t="s">
        <v>58</v>
      </c>
      <c r="D33" s="12">
        <v>3799.8167691600001</v>
      </c>
      <c r="E33" s="12">
        <f t="shared" si="2"/>
        <v>4103.8021106928009</v>
      </c>
      <c r="F33" s="9">
        <f t="shared" si="3"/>
        <v>4842</v>
      </c>
    </row>
    <row r="34" spans="1:6" ht="18.95" customHeight="1" x14ac:dyDescent="0.25">
      <c r="A34" s="6" t="s">
        <v>46</v>
      </c>
      <c r="B34" s="7" t="s">
        <v>59</v>
      </c>
      <c r="C34" s="6" t="s">
        <v>60</v>
      </c>
      <c r="D34" s="8">
        <v>5601.1526999999996</v>
      </c>
      <c r="E34" s="8">
        <f t="shared" si="2"/>
        <v>6049.2449159999996</v>
      </c>
      <c r="F34" s="9">
        <f t="shared" si="3"/>
        <v>7138</v>
      </c>
    </row>
    <row r="35" spans="1:6" ht="18.95" customHeight="1" x14ac:dyDescent="0.25">
      <c r="A35" s="10" t="s">
        <v>46</v>
      </c>
      <c r="B35" s="11" t="s">
        <v>61</v>
      </c>
      <c r="C35" s="10" t="s">
        <v>62</v>
      </c>
      <c r="D35" s="12">
        <v>6200.0016599999999</v>
      </c>
      <c r="E35" s="12">
        <f t="shared" si="2"/>
        <v>6696.0017928000007</v>
      </c>
      <c r="F35" s="9">
        <f t="shared" si="3"/>
        <v>7901</v>
      </c>
    </row>
    <row r="36" spans="1:6" ht="18.95" customHeight="1" x14ac:dyDescent="0.25">
      <c r="A36" s="6" t="s">
        <v>46</v>
      </c>
      <c r="B36" s="7" t="s">
        <v>63</v>
      </c>
      <c r="C36" s="6" t="s">
        <v>64</v>
      </c>
      <c r="D36" s="8">
        <v>12000.17250423</v>
      </c>
      <c r="E36" s="8">
        <f t="shared" si="2"/>
        <v>12960.186304568402</v>
      </c>
      <c r="F36" s="9">
        <f t="shared" si="3"/>
        <v>15293</v>
      </c>
    </row>
    <row r="37" spans="1:6" ht="18.95" customHeight="1" x14ac:dyDescent="0.25">
      <c r="A37" s="10" t="s">
        <v>46</v>
      </c>
      <c r="B37" s="11" t="s">
        <v>65</v>
      </c>
      <c r="C37" s="10" t="s">
        <v>66</v>
      </c>
      <c r="D37" s="12">
        <v>10197.976999410001</v>
      </c>
      <c r="E37" s="12">
        <f t="shared" si="2"/>
        <v>11013.815159362801</v>
      </c>
      <c r="F37" s="9">
        <f t="shared" si="3"/>
        <v>12996</v>
      </c>
    </row>
    <row r="38" spans="1:6" ht="18.95" customHeight="1" x14ac:dyDescent="0.25">
      <c r="A38" s="6" t="s">
        <v>46</v>
      </c>
      <c r="B38" s="7" t="s">
        <v>67</v>
      </c>
      <c r="C38" s="6" t="s">
        <v>68</v>
      </c>
      <c r="D38" s="8">
        <v>10200.050999999999</v>
      </c>
      <c r="E38" s="8">
        <f t="shared" si="2"/>
        <v>11016.05508</v>
      </c>
      <c r="F38" s="9">
        <f t="shared" si="3"/>
        <v>12999</v>
      </c>
    </row>
    <row r="39" spans="1:6" ht="18.95" customHeight="1" x14ac:dyDescent="0.25">
      <c r="A39" s="10" t="s">
        <v>46</v>
      </c>
      <c r="B39" s="11" t="s">
        <v>69</v>
      </c>
      <c r="C39" s="10" t="s">
        <v>70</v>
      </c>
      <c r="D39" s="12">
        <v>18000.9702</v>
      </c>
      <c r="E39" s="12">
        <f t="shared" si="2"/>
        <v>19441.047816000002</v>
      </c>
      <c r="F39" s="9">
        <f t="shared" si="3"/>
        <v>22940</v>
      </c>
    </row>
    <row r="40" spans="1:6" ht="18.95" customHeight="1" x14ac:dyDescent="0.25">
      <c r="A40" s="6" t="s">
        <v>46</v>
      </c>
      <c r="B40" s="7" t="s">
        <v>71</v>
      </c>
      <c r="C40" s="6" t="s">
        <v>72</v>
      </c>
      <c r="D40" s="8">
        <v>22000.4617377</v>
      </c>
      <c r="E40" s="8">
        <f t="shared" si="2"/>
        <v>23760.498676716001</v>
      </c>
      <c r="F40" s="9">
        <f t="shared" si="3"/>
        <v>28037</v>
      </c>
    </row>
    <row r="42" spans="1:6" ht="21.95" customHeight="1" x14ac:dyDescent="0.25">
      <c r="A42" s="13" t="s">
        <v>73</v>
      </c>
      <c r="B42" s="14"/>
      <c r="C42" s="14"/>
      <c r="D42" s="14"/>
      <c r="E42" s="14"/>
      <c r="F42" s="14"/>
    </row>
    <row r="43" spans="1:6" ht="20.100000000000001" customHeight="1" x14ac:dyDescent="0.25">
      <c r="A43" s="4" t="s">
        <v>7</v>
      </c>
      <c r="B43" s="4" t="s">
        <v>8</v>
      </c>
      <c r="C43" s="4" t="s">
        <v>9</v>
      </c>
      <c r="D43" s="5" t="s">
        <v>10</v>
      </c>
      <c r="E43" s="5" t="s">
        <v>11</v>
      </c>
      <c r="F43" s="5" t="s">
        <v>12</v>
      </c>
    </row>
    <row r="44" spans="1:6" ht="18.95" customHeight="1" x14ac:dyDescent="0.25">
      <c r="A44" s="6" t="s">
        <v>74</v>
      </c>
      <c r="B44" s="7" t="s">
        <v>75</v>
      </c>
      <c r="C44" s="6" t="s">
        <v>76</v>
      </c>
      <c r="D44" s="8">
        <v>2452.6485859200002</v>
      </c>
      <c r="E44" s="8">
        <f t="shared" ref="E44:E66" si="4">D44*(1+$B$4)</f>
        <v>2648.8604727936004</v>
      </c>
      <c r="F44" s="9">
        <f t="shared" ref="F44:F66" si="5">ROUND(E44*(1+$E$4), 0)</f>
        <v>3126</v>
      </c>
    </row>
    <row r="45" spans="1:6" ht="18.95" customHeight="1" x14ac:dyDescent="0.25">
      <c r="A45" s="10" t="s">
        <v>74</v>
      </c>
      <c r="B45" s="11" t="s">
        <v>77</v>
      </c>
      <c r="C45" s="10" t="s">
        <v>76</v>
      </c>
      <c r="D45" s="12">
        <v>2452.6485859200002</v>
      </c>
      <c r="E45" s="12">
        <f t="shared" si="4"/>
        <v>2648.8604727936004</v>
      </c>
      <c r="F45" s="9">
        <f t="shared" si="5"/>
        <v>3126</v>
      </c>
    </row>
    <row r="46" spans="1:6" ht="18.95" customHeight="1" x14ac:dyDescent="0.25">
      <c r="A46" s="6" t="s">
        <v>74</v>
      </c>
      <c r="B46" s="7" t="s">
        <v>78</v>
      </c>
      <c r="C46" s="6" t="s">
        <v>79</v>
      </c>
      <c r="D46" s="8">
        <v>2502.9275268000001</v>
      </c>
      <c r="E46" s="8">
        <f t="shared" si="4"/>
        <v>2703.1617289440005</v>
      </c>
      <c r="F46" s="9">
        <f t="shared" si="5"/>
        <v>3190</v>
      </c>
    </row>
    <row r="47" spans="1:6" ht="18.95" customHeight="1" x14ac:dyDescent="0.25">
      <c r="A47" s="10" t="s">
        <v>74</v>
      </c>
      <c r="B47" s="11" t="s">
        <v>80</v>
      </c>
      <c r="C47" s="10" t="s">
        <v>81</v>
      </c>
      <c r="D47" s="12">
        <v>2701.9123114499998</v>
      </c>
      <c r="E47" s="12">
        <f t="shared" si="4"/>
        <v>2918.065296366</v>
      </c>
      <c r="F47" s="9">
        <f t="shared" si="5"/>
        <v>3443</v>
      </c>
    </row>
    <row r="48" spans="1:6" ht="18.95" customHeight="1" x14ac:dyDescent="0.25">
      <c r="A48" s="6" t="s">
        <v>74</v>
      </c>
      <c r="B48" s="7" t="s">
        <v>82</v>
      </c>
      <c r="C48" s="6" t="s">
        <v>83</v>
      </c>
      <c r="D48" s="8">
        <v>2752.5572003699999</v>
      </c>
      <c r="E48" s="8">
        <f t="shared" si="4"/>
        <v>2972.7617763996</v>
      </c>
      <c r="F48" s="9">
        <f t="shared" si="5"/>
        <v>3508</v>
      </c>
    </row>
    <row r="49" spans="1:6" ht="18.95" customHeight="1" x14ac:dyDescent="0.25">
      <c r="A49" s="10" t="s">
        <v>74</v>
      </c>
      <c r="B49" s="11" t="s">
        <v>84</v>
      </c>
      <c r="C49" s="10" t="s">
        <v>85</v>
      </c>
      <c r="D49" s="12">
        <v>2903.9962411800002</v>
      </c>
      <c r="E49" s="12">
        <f t="shared" si="4"/>
        <v>3136.3159404744006</v>
      </c>
      <c r="F49" s="9">
        <f t="shared" si="5"/>
        <v>3701</v>
      </c>
    </row>
    <row r="50" spans="1:6" ht="18.95" customHeight="1" x14ac:dyDescent="0.25">
      <c r="A50" s="6" t="s">
        <v>74</v>
      </c>
      <c r="B50" s="7" t="s">
        <v>86</v>
      </c>
      <c r="C50" s="6" t="s">
        <v>87</v>
      </c>
      <c r="D50" s="8">
        <v>2954.3943807000001</v>
      </c>
      <c r="E50" s="8">
        <f t="shared" si="4"/>
        <v>3190.7459311560001</v>
      </c>
      <c r="F50" s="9">
        <f t="shared" si="5"/>
        <v>3765</v>
      </c>
    </row>
    <row r="51" spans="1:6" ht="18.95" customHeight="1" x14ac:dyDescent="0.25">
      <c r="A51" s="10" t="s">
        <v>74</v>
      </c>
      <c r="B51" s="11" t="s">
        <v>88</v>
      </c>
      <c r="C51" s="10" t="s">
        <v>89</v>
      </c>
      <c r="D51" s="12">
        <v>3510.2748129000001</v>
      </c>
      <c r="E51" s="12">
        <f t="shared" si="4"/>
        <v>3791.0967979320003</v>
      </c>
      <c r="F51" s="9">
        <f t="shared" si="5"/>
        <v>4473</v>
      </c>
    </row>
    <row r="52" spans="1:6" ht="18.95" customHeight="1" x14ac:dyDescent="0.25">
      <c r="A52" s="6" t="s">
        <v>74</v>
      </c>
      <c r="B52" s="7" t="s">
        <v>90</v>
      </c>
      <c r="C52" s="6" t="s">
        <v>91</v>
      </c>
      <c r="D52" s="8">
        <v>3080.6605328099999</v>
      </c>
      <c r="E52" s="8">
        <f t="shared" si="4"/>
        <v>3327.1133754348002</v>
      </c>
      <c r="F52" s="9">
        <f t="shared" si="5"/>
        <v>3926</v>
      </c>
    </row>
    <row r="53" spans="1:6" ht="18.95" customHeight="1" x14ac:dyDescent="0.25">
      <c r="A53" s="10" t="s">
        <v>74</v>
      </c>
      <c r="B53" s="11" t="s">
        <v>92</v>
      </c>
      <c r="C53" s="10" t="s">
        <v>93</v>
      </c>
      <c r="D53" s="12">
        <v>3131.1914602799998</v>
      </c>
      <c r="E53" s="12">
        <f t="shared" si="4"/>
        <v>3381.6867771023999</v>
      </c>
      <c r="F53" s="9">
        <f t="shared" si="5"/>
        <v>3990</v>
      </c>
    </row>
    <row r="54" spans="1:6" ht="18.95" customHeight="1" x14ac:dyDescent="0.25">
      <c r="A54" s="6" t="s">
        <v>74</v>
      </c>
      <c r="B54" s="7" t="s">
        <v>94</v>
      </c>
      <c r="C54" s="6" t="s">
        <v>95</v>
      </c>
      <c r="D54" s="8">
        <v>3333.4027353900001</v>
      </c>
      <c r="E54" s="8">
        <f t="shared" si="4"/>
        <v>3600.0749542212002</v>
      </c>
      <c r="F54" s="9">
        <f t="shared" si="5"/>
        <v>4248</v>
      </c>
    </row>
    <row r="55" spans="1:6" ht="18.95" customHeight="1" x14ac:dyDescent="0.25">
      <c r="A55" s="10" t="s">
        <v>74</v>
      </c>
      <c r="B55" s="11" t="s">
        <v>96</v>
      </c>
      <c r="C55" s="10" t="s">
        <v>97</v>
      </c>
      <c r="D55" s="12">
        <v>3384.0114627600001</v>
      </c>
      <c r="E55" s="12">
        <f t="shared" si="4"/>
        <v>3654.7323797808003</v>
      </c>
      <c r="F55" s="9">
        <f t="shared" si="5"/>
        <v>4313</v>
      </c>
    </row>
    <row r="56" spans="1:6" ht="18.95" customHeight="1" x14ac:dyDescent="0.25">
      <c r="A56" s="6" t="s">
        <v>74</v>
      </c>
      <c r="B56" s="7" t="s">
        <v>98</v>
      </c>
      <c r="C56" s="6" t="s">
        <v>99</v>
      </c>
      <c r="D56" s="8">
        <v>2979.6565608000001</v>
      </c>
      <c r="E56" s="8">
        <f t="shared" si="4"/>
        <v>3218.0290856640004</v>
      </c>
      <c r="F56" s="9">
        <f t="shared" si="5"/>
        <v>3797</v>
      </c>
    </row>
    <row r="57" spans="1:6" ht="18.95" customHeight="1" x14ac:dyDescent="0.25">
      <c r="A57" s="10" t="s">
        <v>74</v>
      </c>
      <c r="B57" s="11" t="s">
        <v>100</v>
      </c>
      <c r="C57" s="10" t="s">
        <v>101</v>
      </c>
      <c r="D57" s="12">
        <v>3030.4619316960002</v>
      </c>
      <c r="E57" s="12">
        <f t="shared" si="4"/>
        <v>3272.8988862316805</v>
      </c>
      <c r="F57" s="9">
        <f t="shared" si="5"/>
        <v>3862</v>
      </c>
    </row>
    <row r="58" spans="1:6" ht="18.95" customHeight="1" x14ac:dyDescent="0.25">
      <c r="A58" s="6" t="s">
        <v>74</v>
      </c>
      <c r="B58" s="7" t="s">
        <v>102</v>
      </c>
      <c r="C58" s="6" t="s">
        <v>103</v>
      </c>
      <c r="D58" s="8">
        <v>3231.3237849000002</v>
      </c>
      <c r="E58" s="8">
        <f t="shared" si="4"/>
        <v>3489.8296876920003</v>
      </c>
      <c r="F58" s="9">
        <f t="shared" si="5"/>
        <v>4118</v>
      </c>
    </row>
    <row r="59" spans="1:6" ht="18.95" customHeight="1" x14ac:dyDescent="0.25">
      <c r="A59" s="10" t="s">
        <v>74</v>
      </c>
      <c r="B59" s="11" t="s">
        <v>104</v>
      </c>
      <c r="C59" s="10" t="s">
        <v>105</v>
      </c>
      <c r="D59" s="12">
        <v>3280.7851275600001</v>
      </c>
      <c r="E59" s="12">
        <f t="shared" si="4"/>
        <v>3543.2479377648006</v>
      </c>
      <c r="F59" s="9">
        <f t="shared" si="5"/>
        <v>4181</v>
      </c>
    </row>
    <row r="60" spans="1:6" ht="18.95" customHeight="1" x14ac:dyDescent="0.25">
      <c r="A60" s="6" t="s">
        <v>74</v>
      </c>
      <c r="B60" s="7" t="s">
        <v>106</v>
      </c>
      <c r="C60" s="6" t="s">
        <v>107</v>
      </c>
      <c r="D60" s="8">
        <v>3535.4619461699999</v>
      </c>
      <c r="E60" s="8">
        <f t="shared" si="4"/>
        <v>3818.2989018636003</v>
      </c>
      <c r="F60" s="9">
        <f t="shared" si="5"/>
        <v>4506</v>
      </c>
    </row>
    <row r="61" spans="1:6" ht="18.95" customHeight="1" x14ac:dyDescent="0.25">
      <c r="A61" s="10" t="s">
        <v>74</v>
      </c>
      <c r="B61" s="11" t="s">
        <v>108</v>
      </c>
      <c r="C61" s="10" t="s">
        <v>109</v>
      </c>
      <c r="D61" s="12">
        <v>3585.92498088</v>
      </c>
      <c r="E61" s="12">
        <f t="shared" si="4"/>
        <v>3872.7989793504003</v>
      </c>
      <c r="F61" s="9">
        <f t="shared" si="5"/>
        <v>4570</v>
      </c>
    </row>
    <row r="62" spans="1:6" ht="18.95" customHeight="1" x14ac:dyDescent="0.25">
      <c r="A62" s="6" t="s">
        <v>74</v>
      </c>
      <c r="B62" s="7" t="s">
        <v>110</v>
      </c>
      <c r="C62" s="6" t="s">
        <v>111</v>
      </c>
      <c r="D62" s="8">
        <v>4268.6042328900003</v>
      </c>
      <c r="E62" s="8">
        <f t="shared" si="4"/>
        <v>4610.0925715212006</v>
      </c>
      <c r="F62" s="9">
        <f t="shared" si="5"/>
        <v>5440</v>
      </c>
    </row>
    <row r="63" spans="1:6" ht="18.95" customHeight="1" x14ac:dyDescent="0.25">
      <c r="A63" s="10" t="s">
        <v>74</v>
      </c>
      <c r="B63" s="11" t="s">
        <v>112</v>
      </c>
      <c r="C63" s="10" t="s">
        <v>113</v>
      </c>
      <c r="D63" s="12">
        <v>4267.7201893499996</v>
      </c>
      <c r="E63" s="12">
        <f t="shared" si="4"/>
        <v>4609.1378044980002</v>
      </c>
      <c r="F63" s="9">
        <f t="shared" si="5"/>
        <v>5439</v>
      </c>
    </row>
    <row r="64" spans="1:6" ht="18.95" customHeight="1" x14ac:dyDescent="0.25">
      <c r="A64" s="6" t="s">
        <v>74</v>
      </c>
      <c r="B64" s="7" t="s">
        <v>114</v>
      </c>
      <c r="C64" s="6" t="s">
        <v>115</v>
      </c>
      <c r="D64" s="8">
        <v>4318.3518899399996</v>
      </c>
      <c r="E64" s="8">
        <f t="shared" si="4"/>
        <v>4663.8200411352</v>
      </c>
      <c r="F64" s="9">
        <f t="shared" si="5"/>
        <v>5503</v>
      </c>
    </row>
    <row r="65" spans="1:6" ht="18.95" customHeight="1" x14ac:dyDescent="0.25">
      <c r="A65" s="10" t="s">
        <v>74</v>
      </c>
      <c r="B65" s="11" t="s">
        <v>116</v>
      </c>
      <c r="C65" s="10" t="s">
        <v>117</v>
      </c>
      <c r="D65" s="12">
        <v>6034.2012710999998</v>
      </c>
      <c r="E65" s="12">
        <f t="shared" si="4"/>
        <v>6516.9373727880002</v>
      </c>
      <c r="F65" s="9">
        <f t="shared" si="5"/>
        <v>7690</v>
      </c>
    </row>
    <row r="66" spans="1:6" ht="18.95" customHeight="1" x14ac:dyDescent="0.25">
      <c r="A66" s="6" t="s">
        <v>74</v>
      </c>
      <c r="B66" s="7" t="s">
        <v>118</v>
      </c>
      <c r="C66" s="6" t="s">
        <v>119</v>
      </c>
      <c r="D66" s="8">
        <v>6084.6257872800006</v>
      </c>
      <c r="E66" s="8">
        <f t="shared" si="4"/>
        <v>6571.3958502624009</v>
      </c>
      <c r="F66" s="9">
        <f t="shared" si="5"/>
        <v>7754</v>
      </c>
    </row>
    <row r="68" spans="1:6" ht="21.95" customHeight="1" x14ac:dyDescent="0.25">
      <c r="A68" s="13" t="s">
        <v>120</v>
      </c>
      <c r="B68" s="14"/>
      <c r="C68" s="14"/>
      <c r="D68" s="14"/>
      <c r="E68" s="14"/>
      <c r="F68" s="14"/>
    </row>
    <row r="69" spans="1:6" ht="20.100000000000001" customHeight="1" x14ac:dyDescent="0.25">
      <c r="A69" s="4" t="s">
        <v>7</v>
      </c>
      <c r="B69" s="4" t="s">
        <v>8</v>
      </c>
      <c r="C69" s="4" t="s">
        <v>9</v>
      </c>
      <c r="D69" s="5" t="s">
        <v>10</v>
      </c>
      <c r="E69" s="5" t="s">
        <v>11</v>
      </c>
      <c r="F69" s="5" t="s">
        <v>12</v>
      </c>
    </row>
    <row r="70" spans="1:6" ht="18.95" customHeight="1" x14ac:dyDescent="0.25">
      <c r="A70" s="6" t="s">
        <v>121</v>
      </c>
      <c r="B70" s="7" t="s">
        <v>122</v>
      </c>
      <c r="C70" s="6" t="s">
        <v>123</v>
      </c>
      <c r="D70" s="8">
        <v>3900.9439056000001</v>
      </c>
      <c r="E70" s="8">
        <f t="shared" ref="E70:E82" si="6">D70*(1+$B$4)</f>
        <v>4213.0194180480003</v>
      </c>
      <c r="F70" s="9">
        <f t="shared" ref="F70:F82" si="7">ROUND(E70*(1+$E$4), 0)</f>
        <v>4971</v>
      </c>
    </row>
    <row r="71" spans="1:6" ht="18.95" customHeight="1" x14ac:dyDescent="0.25">
      <c r="A71" s="10" t="s">
        <v>121</v>
      </c>
      <c r="B71" s="11" t="s">
        <v>124</v>
      </c>
      <c r="C71" s="10" t="s">
        <v>125</v>
      </c>
      <c r="D71" s="12">
        <v>4400.8504833599991</v>
      </c>
      <c r="E71" s="12">
        <f t="shared" si="6"/>
        <v>4752.9185220287991</v>
      </c>
      <c r="F71" s="9">
        <f t="shared" si="7"/>
        <v>5608</v>
      </c>
    </row>
    <row r="72" spans="1:6" ht="18.95" customHeight="1" x14ac:dyDescent="0.25">
      <c r="A72" s="6" t="s">
        <v>121</v>
      </c>
      <c r="B72" s="7" t="s">
        <v>126</v>
      </c>
      <c r="C72" s="6" t="s">
        <v>127</v>
      </c>
      <c r="D72" s="8">
        <v>6557.6459225399994</v>
      </c>
      <c r="E72" s="8">
        <f t="shared" si="6"/>
        <v>7082.2575963432</v>
      </c>
      <c r="F72" s="9">
        <f t="shared" si="7"/>
        <v>8357</v>
      </c>
    </row>
    <row r="73" spans="1:6" ht="18.95" customHeight="1" x14ac:dyDescent="0.25">
      <c r="A73" s="10" t="s">
        <v>121</v>
      </c>
      <c r="B73" s="11" t="s">
        <v>128</v>
      </c>
      <c r="C73" s="10" t="s">
        <v>129</v>
      </c>
      <c r="D73" s="12">
        <v>5092.7168766599998</v>
      </c>
      <c r="E73" s="12">
        <f t="shared" si="6"/>
        <v>5500.1342267928003</v>
      </c>
      <c r="F73" s="9">
        <f t="shared" si="7"/>
        <v>6490</v>
      </c>
    </row>
    <row r="74" spans="1:6" ht="18.95" customHeight="1" x14ac:dyDescent="0.25">
      <c r="A74" s="6" t="s">
        <v>121</v>
      </c>
      <c r="B74" s="7" t="s">
        <v>130</v>
      </c>
      <c r="C74" s="6" t="s">
        <v>131</v>
      </c>
      <c r="D74" s="8">
        <v>5592.707885159999</v>
      </c>
      <c r="E74" s="8">
        <f t="shared" si="6"/>
        <v>6040.1245159727996</v>
      </c>
      <c r="F74" s="9">
        <f t="shared" si="7"/>
        <v>7127</v>
      </c>
    </row>
    <row r="75" spans="1:6" ht="18.95" customHeight="1" x14ac:dyDescent="0.25">
      <c r="A75" s="10" t="s">
        <v>121</v>
      </c>
      <c r="B75" s="11" t="s">
        <v>132</v>
      </c>
      <c r="C75" s="10" t="s">
        <v>133</v>
      </c>
      <c r="D75" s="12">
        <v>7949.3850278999998</v>
      </c>
      <c r="E75" s="12">
        <f t="shared" si="6"/>
        <v>8585.3358301320004</v>
      </c>
      <c r="F75" s="9">
        <f t="shared" si="7"/>
        <v>10131</v>
      </c>
    </row>
    <row r="76" spans="1:6" ht="18.95" customHeight="1" x14ac:dyDescent="0.25">
      <c r="A76" s="6" t="s">
        <v>121</v>
      </c>
      <c r="B76" s="7" t="s">
        <v>134</v>
      </c>
      <c r="C76" s="6" t="s">
        <v>135</v>
      </c>
      <c r="D76" s="8">
        <v>7300.3788000000004</v>
      </c>
      <c r="E76" s="8">
        <f t="shared" si="6"/>
        <v>7884.4091040000012</v>
      </c>
      <c r="F76" s="9">
        <f t="shared" si="7"/>
        <v>9304</v>
      </c>
    </row>
    <row r="77" spans="1:6" ht="18.95" customHeight="1" x14ac:dyDescent="0.25">
      <c r="A77" s="10" t="s">
        <v>121</v>
      </c>
      <c r="B77" s="11" t="s">
        <v>136</v>
      </c>
      <c r="C77" s="10" t="s">
        <v>137</v>
      </c>
      <c r="D77" s="12">
        <v>9300.8850958800012</v>
      </c>
      <c r="E77" s="12">
        <f t="shared" si="6"/>
        <v>10044.955903550403</v>
      </c>
      <c r="F77" s="9">
        <f t="shared" si="7"/>
        <v>11853</v>
      </c>
    </row>
    <row r="78" spans="1:6" ht="18.95" customHeight="1" x14ac:dyDescent="0.25">
      <c r="A78" s="6" t="s">
        <v>121</v>
      </c>
      <c r="B78" s="7" t="s">
        <v>138</v>
      </c>
      <c r="C78" s="6" t="s">
        <v>139</v>
      </c>
      <c r="D78" s="8">
        <v>11990.62883304</v>
      </c>
      <c r="E78" s="8">
        <f t="shared" si="6"/>
        <v>12949.8791396832</v>
      </c>
      <c r="F78" s="9">
        <f t="shared" si="7"/>
        <v>15281</v>
      </c>
    </row>
    <row r="79" spans="1:6" ht="18.95" customHeight="1" x14ac:dyDescent="0.25">
      <c r="A79" s="10" t="s">
        <v>121</v>
      </c>
      <c r="B79" s="11" t="s">
        <v>140</v>
      </c>
      <c r="C79" s="10" t="s">
        <v>141</v>
      </c>
      <c r="D79" s="12">
        <v>19399.9125981</v>
      </c>
      <c r="E79" s="12">
        <f t="shared" si="6"/>
        <v>20951.905605948003</v>
      </c>
      <c r="F79" s="9">
        <f t="shared" si="7"/>
        <v>24723</v>
      </c>
    </row>
    <row r="80" spans="1:6" ht="18.95" customHeight="1" x14ac:dyDescent="0.25">
      <c r="A80" s="6" t="s">
        <v>121</v>
      </c>
      <c r="B80" s="7" t="s">
        <v>142</v>
      </c>
      <c r="C80" s="6" t="s">
        <v>143</v>
      </c>
      <c r="D80" s="8">
        <v>24897.960381600002</v>
      </c>
      <c r="E80" s="8">
        <f t="shared" si="6"/>
        <v>26889.797212128004</v>
      </c>
      <c r="F80" s="9">
        <f t="shared" si="7"/>
        <v>31730</v>
      </c>
    </row>
    <row r="81" spans="1:6" ht="18.95" customHeight="1" x14ac:dyDescent="0.25">
      <c r="A81" s="10" t="s">
        <v>121</v>
      </c>
      <c r="B81" s="11" t="s">
        <v>144</v>
      </c>
      <c r="C81" s="10" t="s">
        <v>145</v>
      </c>
      <c r="D81" s="12">
        <v>33001.337279699997</v>
      </c>
      <c r="E81" s="12">
        <f t="shared" si="6"/>
        <v>35641.444262076002</v>
      </c>
      <c r="F81" s="9">
        <f t="shared" si="7"/>
        <v>42057</v>
      </c>
    </row>
    <row r="82" spans="1:6" ht="18.95" customHeight="1" x14ac:dyDescent="0.25">
      <c r="A82" s="6" t="s">
        <v>121</v>
      </c>
      <c r="B82" s="7" t="s">
        <v>146</v>
      </c>
      <c r="C82" s="6" t="s">
        <v>147</v>
      </c>
      <c r="D82" s="8">
        <v>45500.178013199999</v>
      </c>
      <c r="E82" s="8">
        <f t="shared" si="6"/>
        <v>49140.192254255999</v>
      </c>
      <c r="F82" s="9">
        <f t="shared" si="7"/>
        <v>57985</v>
      </c>
    </row>
    <row r="84" spans="1:6" ht="21.95" customHeight="1" x14ac:dyDescent="0.25">
      <c r="A84" s="13" t="s">
        <v>148</v>
      </c>
      <c r="B84" s="14"/>
      <c r="C84" s="14"/>
      <c r="D84" s="14"/>
      <c r="E84" s="14"/>
      <c r="F84" s="14"/>
    </row>
    <row r="85" spans="1:6" ht="20.100000000000001" customHeight="1" x14ac:dyDescent="0.25">
      <c r="A85" s="4" t="s">
        <v>7</v>
      </c>
      <c r="B85" s="4" t="s">
        <v>8</v>
      </c>
      <c r="C85" s="4" t="s">
        <v>9</v>
      </c>
      <c r="D85" s="5" t="s">
        <v>10</v>
      </c>
      <c r="E85" s="5" t="s">
        <v>11</v>
      </c>
      <c r="F85" s="5" t="s">
        <v>12</v>
      </c>
    </row>
    <row r="86" spans="1:6" ht="18.95" customHeight="1" x14ac:dyDescent="0.25">
      <c r="A86" s="6" t="s">
        <v>149</v>
      </c>
      <c r="B86" s="7" t="s">
        <v>150</v>
      </c>
      <c r="C86" s="6" t="s">
        <v>151</v>
      </c>
      <c r="D86" s="8">
        <v>25249.270499999999</v>
      </c>
      <c r="E86" s="8">
        <f>D86*(1+$B$4)</f>
        <v>27269.21214</v>
      </c>
      <c r="F86" s="9">
        <f>ROUND(E86*(1+$E$4), 0)</f>
        <v>32178</v>
      </c>
    </row>
    <row r="87" spans="1:6" ht="18.95" customHeight="1" x14ac:dyDescent="0.25">
      <c r="A87" s="10" t="s">
        <v>149</v>
      </c>
      <c r="B87" s="11" t="s">
        <v>152</v>
      </c>
      <c r="C87" s="10" t="s">
        <v>153</v>
      </c>
      <c r="D87" s="12">
        <v>41503.266097200001</v>
      </c>
      <c r="E87" s="12">
        <f>D87*(1+$B$4)</f>
        <v>44823.527384976005</v>
      </c>
      <c r="F87" s="9">
        <f>ROUND(E87*(1+$E$4), 0)</f>
        <v>52892</v>
      </c>
    </row>
    <row r="88" spans="1:6" ht="18.95" customHeight="1" x14ac:dyDescent="0.25">
      <c r="A88" s="6" t="s">
        <v>149</v>
      </c>
      <c r="B88" s="7" t="s">
        <v>154</v>
      </c>
      <c r="C88" s="6" t="s">
        <v>155</v>
      </c>
      <c r="D88" s="8">
        <v>47004.118540199997</v>
      </c>
      <c r="E88" s="8">
        <f>D88*(1+$B$4)</f>
        <v>50764.448023416</v>
      </c>
      <c r="F88" s="9">
        <f>ROUND(E88*(1+$E$4), 0)</f>
        <v>59902</v>
      </c>
    </row>
    <row r="90" spans="1:6" ht="21.95" customHeight="1" x14ac:dyDescent="0.25">
      <c r="A90" s="13" t="s">
        <v>156</v>
      </c>
      <c r="B90" s="14"/>
      <c r="C90" s="14"/>
      <c r="D90" s="14"/>
      <c r="E90" s="14"/>
      <c r="F90" s="14"/>
    </row>
    <row r="91" spans="1:6" ht="20.100000000000001" customHeight="1" x14ac:dyDescent="0.25">
      <c r="A91" s="4" t="s">
        <v>7</v>
      </c>
      <c r="B91" s="4" t="s">
        <v>8</v>
      </c>
      <c r="C91" s="4" t="s">
        <v>9</v>
      </c>
      <c r="D91" s="5" t="s">
        <v>10</v>
      </c>
      <c r="E91" s="5" t="s">
        <v>11</v>
      </c>
      <c r="F91" s="5" t="s">
        <v>12</v>
      </c>
    </row>
    <row r="92" spans="1:6" ht="18.95" customHeight="1" x14ac:dyDescent="0.25">
      <c r="A92" s="6" t="s">
        <v>157</v>
      </c>
      <c r="B92" s="7" t="s">
        <v>158</v>
      </c>
      <c r="C92" s="6" t="s">
        <v>159</v>
      </c>
      <c r="D92" s="8">
        <v>965.29578000000004</v>
      </c>
      <c r="E92" s="8">
        <f t="shared" ref="E92:E110" si="8">D92*(1+$B$4)</f>
        <v>1042.5194424000001</v>
      </c>
      <c r="F92" s="9">
        <f t="shared" ref="F92:F110" si="9">ROUND(E92*(1+$E$4), 0)</f>
        <v>1230</v>
      </c>
    </row>
    <row r="93" spans="1:6" ht="18.95" customHeight="1" x14ac:dyDescent="0.25">
      <c r="A93" s="10" t="s">
        <v>157</v>
      </c>
      <c r="B93" s="11" t="s">
        <v>160</v>
      </c>
      <c r="C93" s="10" t="s">
        <v>161</v>
      </c>
      <c r="D93" s="12">
        <v>965.29578000000004</v>
      </c>
      <c r="E93" s="12">
        <f t="shared" si="8"/>
        <v>1042.5194424000001</v>
      </c>
      <c r="F93" s="9">
        <f t="shared" si="9"/>
        <v>1230</v>
      </c>
    </row>
    <row r="94" spans="1:6" ht="18.95" customHeight="1" x14ac:dyDescent="0.25">
      <c r="A94" s="6" t="s">
        <v>157</v>
      </c>
      <c r="B94" s="7" t="s">
        <v>162</v>
      </c>
      <c r="C94" s="6" t="s">
        <v>163</v>
      </c>
      <c r="D94" s="8">
        <v>1220.3288399999999</v>
      </c>
      <c r="E94" s="8">
        <f t="shared" si="8"/>
        <v>1317.9551472000001</v>
      </c>
      <c r="F94" s="9">
        <f t="shared" si="9"/>
        <v>1555</v>
      </c>
    </row>
    <row r="95" spans="1:6" ht="18.95" customHeight="1" x14ac:dyDescent="0.25">
      <c r="A95" s="10" t="s">
        <v>157</v>
      </c>
      <c r="B95" s="11" t="s">
        <v>164</v>
      </c>
      <c r="C95" s="10" t="s">
        <v>163</v>
      </c>
      <c r="D95" s="12">
        <v>1220.3288399999999</v>
      </c>
      <c r="E95" s="12">
        <f t="shared" si="8"/>
        <v>1317.9551472000001</v>
      </c>
      <c r="F95" s="9">
        <f t="shared" si="9"/>
        <v>1555</v>
      </c>
    </row>
    <row r="96" spans="1:6" ht="18.95" customHeight="1" x14ac:dyDescent="0.25">
      <c r="A96" s="6" t="s">
        <v>157</v>
      </c>
      <c r="B96" s="7" t="s">
        <v>165</v>
      </c>
      <c r="C96" s="6" t="s">
        <v>166</v>
      </c>
      <c r="D96" s="8">
        <v>1931.4521999999999</v>
      </c>
      <c r="E96" s="8">
        <f t="shared" si="8"/>
        <v>2085.9683760000003</v>
      </c>
      <c r="F96" s="9">
        <f t="shared" si="9"/>
        <v>2461</v>
      </c>
    </row>
    <row r="97" spans="1:6" ht="18.95" customHeight="1" x14ac:dyDescent="0.25">
      <c r="A97" s="10" t="s">
        <v>157</v>
      </c>
      <c r="B97" s="11" t="s">
        <v>167</v>
      </c>
      <c r="C97" s="10" t="s">
        <v>168</v>
      </c>
      <c r="D97" s="12">
        <v>6253.8209999999999</v>
      </c>
      <c r="E97" s="12">
        <f t="shared" si="8"/>
        <v>6754.1266800000003</v>
      </c>
      <c r="F97" s="9">
        <f t="shared" si="9"/>
        <v>7970</v>
      </c>
    </row>
    <row r="98" spans="1:6" ht="18.95" customHeight="1" x14ac:dyDescent="0.25">
      <c r="A98" s="6" t="s">
        <v>157</v>
      </c>
      <c r="B98" s="7" t="s">
        <v>169</v>
      </c>
      <c r="C98" s="6" t="s">
        <v>170</v>
      </c>
      <c r="D98" s="8">
        <v>7147.2240000000002</v>
      </c>
      <c r="E98" s="8">
        <f t="shared" si="8"/>
        <v>7719.0019200000006</v>
      </c>
      <c r="F98" s="9">
        <f t="shared" si="9"/>
        <v>9108</v>
      </c>
    </row>
    <row r="99" spans="1:6" ht="18.95" customHeight="1" x14ac:dyDescent="0.25">
      <c r="A99" s="10" t="s">
        <v>157</v>
      </c>
      <c r="B99" s="11" t="s">
        <v>171</v>
      </c>
      <c r="C99" s="10" t="s">
        <v>172</v>
      </c>
      <c r="D99" s="12">
        <v>1931.4521999999999</v>
      </c>
      <c r="E99" s="12">
        <f t="shared" si="8"/>
        <v>2085.9683760000003</v>
      </c>
      <c r="F99" s="9">
        <f t="shared" si="9"/>
        <v>2461</v>
      </c>
    </row>
    <row r="100" spans="1:6" ht="18.95" customHeight="1" x14ac:dyDescent="0.25">
      <c r="A100" s="6" t="s">
        <v>157</v>
      </c>
      <c r="B100" s="7" t="s">
        <v>173</v>
      </c>
      <c r="C100" s="6" t="s">
        <v>174</v>
      </c>
      <c r="D100" s="8">
        <v>2680.2089999999998</v>
      </c>
      <c r="E100" s="8">
        <f t="shared" si="8"/>
        <v>2894.62572</v>
      </c>
      <c r="F100" s="9">
        <f t="shared" si="9"/>
        <v>3416</v>
      </c>
    </row>
    <row r="101" spans="1:6" ht="18.95" customHeight="1" x14ac:dyDescent="0.25">
      <c r="A101" s="10" t="s">
        <v>157</v>
      </c>
      <c r="B101" s="11" t="s">
        <v>175</v>
      </c>
      <c r="C101" s="10" t="s">
        <v>176</v>
      </c>
      <c r="D101" s="12">
        <v>2850.3809999999999</v>
      </c>
      <c r="E101" s="12">
        <f t="shared" si="8"/>
        <v>3078.4114800000002</v>
      </c>
      <c r="F101" s="9">
        <f t="shared" si="9"/>
        <v>3633</v>
      </c>
    </row>
    <row r="102" spans="1:6" ht="18.95" customHeight="1" x14ac:dyDescent="0.25">
      <c r="A102" s="6" t="s">
        <v>157</v>
      </c>
      <c r="B102" s="7" t="s">
        <v>177</v>
      </c>
      <c r="C102" s="6" t="s">
        <v>178</v>
      </c>
      <c r="D102" s="8">
        <v>8396.1299999999992</v>
      </c>
      <c r="E102" s="8">
        <f t="shared" si="8"/>
        <v>9067.8204000000005</v>
      </c>
      <c r="F102" s="9">
        <f t="shared" si="9"/>
        <v>10700</v>
      </c>
    </row>
    <row r="103" spans="1:6" ht="18.95" customHeight="1" x14ac:dyDescent="0.25">
      <c r="A103" s="10" t="s">
        <v>157</v>
      </c>
      <c r="B103" s="11" t="s">
        <v>179</v>
      </c>
      <c r="C103" s="10" t="s">
        <v>180</v>
      </c>
      <c r="D103" s="12">
        <v>11222.55</v>
      </c>
      <c r="E103" s="12">
        <f t="shared" si="8"/>
        <v>12120.353999999999</v>
      </c>
      <c r="F103" s="9">
        <f t="shared" si="9"/>
        <v>14302</v>
      </c>
    </row>
    <row r="104" spans="1:6" ht="18.95" customHeight="1" x14ac:dyDescent="0.25">
      <c r="A104" s="6" t="s">
        <v>157</v>
      </c>
      <c r="B104" s="7" t="s">
        <v>181</v>
      </c>
      <c r="C104" s="6" t="s">
        <v>182</v>
      </c>
      <c r="D104" s="8">
        <v>11599.9602</v>
      </c>
      <c r="E104" s="8">
        <f t="shared" si="8"/>
        <v>12527.957016</v>
      </c>
      <c r="F104" s="9">
        <f t="shared" si="9"/>
        <v>14783</v>
      </c>
    </row>
    <row r="105" spans="1:6" ht="18.95" customHeight="1" x14ac:dyDescent="0.25">
      <c r="A105" s="10" t="s">
        <v>157</v>
      </c>
      <c r="B105" s="11" t="s">
        <v>183</v>
      </c>
      <c r="C105" s="10" t="s">
        <v>184</v>
      </c>
      <c r="D105" s="12">
        <v>14399.7786</v>
      </c>
      <c r="E105" s="12">
        <f t="shared" si="8"/>
        <v>15551.760888000001</v>
      </c>
      <c r="F105" s="9">
        <f t="shared" si="9"/>
        <v>18351</v>
      </c>
    </row>
    <row r="106" spans="1:6" ht="18.95" customHeight="1" x14ac:dyDescent="0.25">
      <c r="A106" s="6" t="s">
        <v>157</v>
      </c>
      <c r="B106" s="7" t="s">
        <v>185</v>
      </c>
      <c r="C106" s="6" t="s">
        <v>186</v>
      </c>
      <c r="D106" s="8">
        <v>14399.7786</v>
      </c>
      <c r="E106" s="8">
        <f t="shared" si="8"/>
        <v>15551.760888000001</v>
      </c>
      <c r="F106" s="9">
        <f t="shared" si="9"/>
        <v>18351</v>
      </c>
    </row>
    <row r="107" spans="1:6" ht="18.95" customHeight="1" x14ac:dyDescent="0.25">
      <c r="A107" s="10" t="s">
        <v>157</v>
      </c>
      <c r="B107" s="11" t="s">
        <v>187</v>
      </c>
      <c r="C107" s="10" t="s">
        <v>188</v>
      </c>
      <c r="D107" s="12">
        <v>7897.35</v>
      </c>
      <c r="E107" s="12">
        <f t="shared" si="8"/>
        <v>8529.1380000000008</v>
      </c>
      <c r="F107" s="9">
        <f t="shared" si="9"/>
        <v>10064</v>
      </c>
    </row>
    <row r="108" spans="1:6" ht="18.95" customHeight="1" x14ac:dyDescent="0.25">
      <c r="A108" s="6" t="s">
        <v>157</v>
      </c>
      <c r="B108" s="7" t="s">
        <v>189</v>
      </c>
      <c r="C108" s="6" t="s">
        <v>190</v>
      </c>
      <c r="D108" s="8">
        <v>19119.900000000001</v>
      </c>
      <c r="E108" s="8">
        <f t="shared" si="8"/>
        <v>20649.492000000002</v>
      </c>
      <c r="F108" s="9">
        <f t="shared" si="9"/>
        <v>24366</v>
      </c>
    </row>
    <row r="109" spans="1:6" ht="18.95" customHeight="1" x14ac:dyDescent="0.25">
      <c r="A109" s="10" t="s">
        <v>157</v>
      </c>
      <c r="B109" s="11" t="s">
        <v>191</v>
      </c>
      <c r="C109" s="10" t="s">
        <v>192</v>
      </c>
      <c r="D109" s="12">
        <v>22000.354500000001</v>
      </c>
      <c r="E109" s="12">
        <f t="shared" si="8"/>
        <v>23760.382860000002</v>
      </c>
      <c r="F109" s="9">
        <f t="shared" si="9"/>
        <v>28037</v>
      </c>
    </row>
    <row r="110" spans="1:6" ht="18.95" customHeight="1" x14ac:dyDescent="0.25">
      <c r="A110" s="6" t="s">
        <v>157</v>
      </c>
      <c r="B110" s="7" t="s">
        <v>193</v>
      </c>
      <c r="C110" s="6" t="s">
        <v>194</v>
      </c>
      <c r="D110" s="8">
        <v>28264.2</v>
      </c>
      <c r="E110" s="8">
        <f t="shared" si="8"/>
        <v>30525.336000000003</v>
      </c>
      <c r="F110" s="9">
        <f t="shared" si="9"/>
        <v>36020</v>
      </c>
    </row>
    <row r="112" spans="1:6" ht="21.95" customHeight="1" x14ac:dyDescent="0.25">
      <c r="A112" s="13" t="s">
        <v>195</v>
      </c>
      <c r="B112" s="14"/>
      <c r="C112" s="14"/>
      <c r="D112" s="14"/>
      <c r="E112" s="14"/>
      <c r="F112" s="14"/>
    </row>
    <row r="113" spans="1:6" ht="20.100000000000001" customHeight="1" x14ac:dyDescent="0.25">
      <c r="A113" s="4" t="s">
        <v>7</v>
      </c>
      <c r="B113" s="4" t="s">
        <v>8</v>
      </c>
      <c r="C113" s="4" t="s">
        <v>9</v>
      </c>
      <c r="D113" s="5" t="s">
        <v>10</v>
      </c>
      <c r="E113" s="5" t="s">
        <v>11</v>
      </c>
      <c r="F113" s="5" t="s">
        <v>12</v>
      </c>
    </row>
    <row r="114" spans="1:6" ht="18.95" customHeight="1" x14ac:dyDescent="0.25">
      <c r="A114" s="6" t="s">
        <v>196</v>
      </c>
      <c r="B114" s="7" t="s">
        <v>197</v>
      </c>
      <c r="C114" s="6" t="s">
        <v>198</v>
      </c>
      <c r="D114" s="8">
        <v>360.35388</v>
      </c>
      <c r="E114" s="8">
        <f t="shared" ref="E114:E125" si="10">D114*(1+$B$4)</f>
        <v>389.18219040000002</v>
      </c>
      <c r="F114" s="9">
        <f t="shared" ref="F114:F125" si="11">ROUND(E114*(1+$E$4), 0)</f>
        <v>459</v>
      </c>
    </row>
    <row r="115" spans="1:6" ht="18.95" customHeight="1" x14ac:dyDescent="0.25">
      <c r="A115" s="10" t="s">
        <v>196</v>
      </c>
      <c r="B115" s="11" t="s">
        <v>199</v>
      </c>
      <c r="C115" s="10" t="s">
        <v>200</v>
      </c>
      <c r="D115" s="12">
        <v>504.84359999999998</v>
      </c>
      <c r="E115" s="12">
        <f t="shared" si="10"/>
        <v>545.231088</v>
      </c>
      <c r="F115" s="9">
        <f t="shared" si="11"/>
        <v>643</v>
      </c>
    </row>
    <row r="116" spans="1:6" ht="18.95" customHeight="1" x14ac:dyDescent="0.25">
      <c r="A116" s="6" t="s">
        <v>196</v>
      </c>
      <c r="B116" s="7" t="s">
        <v>201</v>
      </c>
      <c r="C116" s="6" t="s">
        <v>202</v>
      </c>
      <c r="D116" s="8">
        <v>1000.11258</v>
      </c>
      <c r="E116" s="8">
        <f t="shared" si="10"/>
        <v>1080.1215864000001</v>
      </c>
      <c r="F116" s="9">
        <f t="shared" si="11"/>
        <v>1275</v>
      </c>
    </row>
    <row r="117" spans="1:6" ht="18.95" customHeight="1" x14ac:dyDescent="0.25">
      <c r="A117" s="10" t="s">
        <v>196</v>
      </c>
      <c r="B117" s="11" t="s">
        <v>203</v>
      </c>
      <c r="C117" s="10" t="s">
        <v>204</v>
      </c>
      <c r="D117" s="12">
        <v>329.88918000000001</v>
      </c>
      <c r="E117" s="12">
        <f t="shared" si="10"/>
        <v>356.28031440000001</v>
      </c>
      <c r="F117" s="9">
        <f t="shared" si="11"/>
        <v>420</v>
      </c>
    </row>
    <row r="118" spans="1:6" ht="18.95" customHeight="1" x14ac:dyDescent="0.25">
      <c r="A118" s="6" t="s">
        <v>196</v>
      </c>
      <c r="B118" s="7" t="s">
        <v>205</v>
      </c>
      <c r="C118" s="6" t="s">
        <v>206</v>
      </c>
      <c r="D118" s="8">
        <v>400.39319999999998</v>
      </c>
      <c r="E118" s="8">
        <f t="shared" si="10"/>
        <v>432.42465600000003</v>
      </c>
      <c r="F118" s="9">
        <f t="shared" si="11"/>
        <v>510</v>
      </c>
    </row>
    <row r="119" spans="1:6" ht="18.95" customHeight="1" x14ac:dyDescent="0.25">
      <c r="A119" s="10" t="s">
        <v>196</v>
      </c>
      <c r="B119" s="11" t="s">
        <v>207</v>
      </c>
      <c r="C119" s="10" t="s">
        <v>208</v>
      </c>
      <c r="D119" s="12">
        <v>329.88918000000001</v>
      </c>
      <c r="E119" s="12">
        <f t="shared" si="10"/>
        <v>356.28031440000001</v>
      </c>
      <c r="F119" s="9">
        <f t="shared" si="11"/>
        <v>420</v>
      </c>
    </row>
    <row r="120" spans="1:6" ht="18.95" customHeight="1" x14ac:dyDescent="0.25">
      <c r="A120" s="6" t="s">
        <v>196</v>
      </c>
      <c r="B120" s="7" t="s">
        <v>209</v>
      </c>
      <c r="C120" s="6" t="s">
        <v>208</v>
      </c>
      <c r="D120" s="8">
        <v>400.39319999999998</v>
      </c>
      <c r="E120" s="8">
        <f t="shared" si="10"/>
        <v>432.42465600000003</v>
      </c>
      <c r="F120" s="9">
        <f t="shared" si="11"/>
        <v>510</v>
      </c>
    </row>
    <row r="121" spans="1:6" ht="18.95" customHeight="1" x14ac:dyDescent="0.25">
      <c r="A121" s="10" t="s">
        <v>196</v>
      </c>
      <c r="B121" s="11" t="s">
        <v>210</v>
      </c>
      <c r="C121" s="10" t="s">
        <v>211</v>
      </c>
      <c r="D121" s="12">
        <v>360.35388</v>
      </c>
      <c r="E121" s="12">
        <f t="shared" si="10"/>
        <v>389.18219040000002</v>
      </c>
      <c r="F121" s="9">
        <f t="shared" si="11"/>
        <v>459</v>
      </c>
    </row>
    <row r="122" spans="1:6" ht="18.95" customHeight="1" x14ac:dyDescent="0.25">
      <c r="A122" s="6" t="s">
        <v>196</v>
      </c>
      <c r="B122" s="7" t="s">
        <v>212</v>
      </c>
      <c r="C122" s="6" t="s">
        <v>213</v>
      </c>
      <c r="D122" s="8">
        <v>420.41286000000002</v>
      </c>
      <c r="E122" s="8">
        <f t="shared" si="10"/>
        <v>454.04588880000006</v>
      </c>
      <c r="F122" s="9">
        <f t="shared" si="11"/>
        <v>536</v>
      </c>
    </row>
    <row r="123" spans="1:6" ht="18.95" customHeight="1" x14ac:dyDescent="0.25">
      <c r="A123" s="10" t="s">
        <v>196</v>
      </c>
      <c r="B123" s="11" t="s">
        <v>214</v>
      </c>
      <c r="C123" s="10" t="s">
        <v>215</v>
      </c>
      <c r="D123" s="12">
        <v>810.36102000000005</v>
      </c>
      <c r="E123" s="12">
        <f t="shared" si="10"/>
        <v>875.1899016000001</v>
      </c>
      <c r="F123" s="9">
        <f t="shared" si="11"/>
        <v>1033</v>
      </c>
    </row>
    <row r="124" spans="1:6" ht="18.95" customHeight="1" x14ac:dyDescent="0.25">
      <c r="A124" s="6" t="s">
        <v>196</v>
      </c>
      <c r="B124" s="7" t="s">
        <v>216</v>
      </c>
      <c r="C124" s="6" t="s">
        <v>217</v>
      </c>
      <c r="D124" s="8">
        <v>1800.02856</v>
      </c>
      <c r="E124" s="8">
        <f t="shared" si="10"/>
        <v>1944.0308448000001</v>
      </c>
      <c r="F124" s="9">
        <f t="shared" si="11"/>
        <v>2294</v>
      </c>
    </row>
    <row r="125" spans="1:6" ht="18.95" customHeight="1" x14ac:dyDescent="0.25">
      <c r="A125" s="10" t="s">
        <v>196</v>
      </c>
      <c r="B125" s="11" t="s">
        <v>218</v>
      </c>
      <c r="C125" s="10" t="s">
        <v>219</v>
      </c>
      <c r="D125" s="12">
        <v>2250.0356999999999</v>
      </c>
      <c r="E125" s="12">
        <f t="shared" si="10"/>
        <v>2430.038556</v>
      </c>
      <c r="F125" s="9">
        <f t="shared" si="11"/>
        <v>2867</v>
      </c>
    </row>
    <row r="127" spans="1:6" ht="21.95" customHeight="1" x14ac:dyDescent="0.25">
      <c r="A127" s="13" t="s">
        <v>220</v>
      </c>
      <c r="B127" s="14"/>
      <c r="C127" s="14"/>
      <c r="D127" s="14"/>
      <c r="E127" s="14"/>
      <c r="F127" s="14"/>
    </row>
    <row r="128" spans="1:6" ht="20.100000000000001" customHeight="1" x14ac:dyDescent="0.25">
      <c r="A128" s="4" t="s">
        <v>7</v>
      </c>
      <c r="B128" s="4" t="s">
        <v>8</v>
      </c>
      <c r="C128" s="4" t="s">
        <v>9</v>
      </c>
      <c r="D128" s="5" t="s">
        <v>10</v>
      </c>
      <c r="E128" s="5" t="s">
        <v>11</v>
      </c>
      <c r="F128" s="5" t="s">
        <v>12</v>
      </c>
    </row>
    <row r="129" spans="1:6" ht="18.95" customHeight="1" x14ac:dyDescent="0.25">
      <c r="A129" s="6" t="s">
        <v>221</v>
      </c>
      <c r="B129" s="7" t="s">
        <v>222</v>
      </c>
      <c r="C129" s="6" t="s">
        <v>223</v>
      </c>
      <c r="D129" s="8">
        <v>889.56924000000004</v>
      </c>
      <c r="E129" s="8">
        <f t="shared" ref="E129:E136" si="12">D129*(1+$B$4)</f>
        <v>960.73477920000005</v>
      </c>
      <c r="F129" s="9">
        <f t="shared" ref="F129:F136" si="13">ROUND(E129*(1+$E$4), 0)</f>
        <v>1134</v>
      </c>
    </row>
    <row r="130" spans="1:6" ht="18.95" customHeight="1" x14ac:dyDescent="0.25">
      <c r="A130" s="10" t="s">
        <v>221</v>
      </c>
      <c r="B130" s="11" t="s">
        <v>224</v>
      </c>
      <c r="C130" s="10" t="s">
        <v>225</v>
      </c>
      <c r="D130" s="12">
        <v>909.58889999999997</v>
      </c>
      <c r="E130" s="12">
        <f t="shared" si="12"/>
        <v>982.35601200000008</v>
      </c>
      <c r="F130" s="9">
        <f t="shared" si="13"/>
        <v>1159</v>
      </c>
    </row>
    <row r="131" spans="1:6" ht="18.95" customHeight="1" x14ac:dyDescent="0.25">
      <c r="A131" s="6" t="s">
        <v>221</v>
      </c>
      <c r="B131" s="7" t="s">
        <v>226</v>
      </c>
      <c r="C131" s="6" t="s">
        <v>227</v>
      </c>
      <c r="D131" s="8">
        <v>1080.1912199999999</v>
      </c>
      <c r="E131" s="8">
        <f t="shared" si="12"/>
        <v>1166.6065176</v>
      </c>
      <c r="F131" s="9">
        <f t="shared" si="13"/>
        <v>1377</v>
      </c>
    </row>
    <row r="132" spans="1:6" ht="18.95" customHeight="1" x14ac:dyDescent="0.25">
      <c r="A132" s="10" t="s">
        <v>221</v>
      </c>
      <c r="B132" s="11" t="s">
        <v>228</v>
      </c>
      <c r="C132" s="10" t="s">
        <v>229</v>
      </c>
      <c r="D132" s="12">
        <v>1160.2698600000001</v>
      </c>
      <c r="E132" s="12">
        <f t="shared" si="12"/>
        <v>1253.0914488000003</v>
      </c>
      <c r="F132" s="9">
        <f t="shared" si="13"/>
        <v>1479</v>
      </c>
    </row>
    <row r="133" spans="1:6" ht="18.95" customHeight="1" x14ac:dyDescent="0.25">
      <c r="A133" s="6" t="s">
        <v>221</v>
      </c>
      <c r="B133" s="7" t="s">
        <v>230</v>
      </c>
      <c r="C133" s="6" t="s">
        <v>231</v>
      </c>
      <c r="D133" s="8">
        <v>2310.9650999999999</v>
      </c>
      <c r="E133" s="8">
        <f t="shared" si="12"/>
        <v>2495.8423080000002</v>
      </c>
      <c r="F133" s="9">
        <f t="shared" si="13"/>
        <v>2945</v>
      </c>
    </row>
    <row r="134" spans="1:6" ht="18.95" customHeight="1" x14ac:dyDescent="0.25">
      <c r="A134" s="10" t="s">
        <v>221</v>
      </c>
      <c r="B134" s="11" t="s">
        <v>232</v>
      </c>
      <c r="C134" s="10" t="s">
        <v>233</v>
      </c>
      <c r="D134" s="12">
        <v>1460.0757599999999</v>
      </c>
      <c r="E134" s="12">
        <f t="shared" si="12"/>
        <v>1576.8818208</v>
      </c>
      <c r="F134" s="9">
        <f t="shared" si="13"/>
        <v>1861</v>
      </c>
    </row>
    <row r="135" spans="1:6" ht="18.95" customHeight="1" x14ac:dyDescent="0.25">
      <c r="A135" s="6" t="s">
        <v>221</v>
      </c>
      <c r="B135" s="7" t="s">
        <v>234</v>
      </c>
      <c r="C135" s="6" t="s">
        <v>235</v>
      </c>
      <c r="D135" s="8">
        <v>1310.3244</v>
      </c>
      <c r="E135" s="8">
        <f t="shared" si="12"/>
        <v>1415.1503520000001</v>
      </c>
      <c r="F135" s="9">
        <f t="shared" si="13"/>
        <v>1670</v>
      </c>
    </row>
    <row r="136" spans="1:6" ht="18.95" customHeight="1" x14ac:dyDescent="0.25">
      <c r="A136" s="10" t="s">
        <v>221</v>
      </c>
      <c r="B136" s="11" t="s">
        <v>236</v>
      </c>
      <c r="C136" s="10" t="s">
        <v>237</v>
      </c>
      <c r="D136" s="12">
        <v>2619.7979399999999</v>
      </c>
      <c r="E136" s="12">
        <f t="shared" si="12"/>
        <v>2829.3817752</v>
      </c>
      <c r="F136" s="9">
        <f t="shared" si="13"/>
        <v>3339</v>
      </c>
    </row>
    <row r="138" spans="1:6" ht="21.95" customHeight="1" x14ac:dyDescent="0.25">
      <c r="A138" s="13" t="s">
        <v>238</v>
      </c>
      <c r="B138" s="14"/>
      <c r="C138" s="14"/>
      <c r="D138" s="14"/>
      <c r="E138" s="14"/>
      <c r="F138" s="14"/>
    </row>
    <row r="139" spans="1:6" ht="20.100000000000001" customHeight="1" x14ac:dyDescent="0.25">
      <c r="A139" s="4" t="s">
        <v>7</v>
      </c>
      <c r="B139" s="4" t="s">
        <v>8</v>
      </c>
      <c r="C139" s="4" t="s">
        <v>9</v>
      </c>
      <c r="D139" s="5" t="s">
        <v>10</v>
      </c>
      <c r="E139" s="5" t="s">
        <v>11</v>
      </c>
      <c r="F139" s="5" t="s">
        <v>12</v>
      </c>
    </row>
    <row r="140" spans="1:6" ht="18.95" customHeight="1" x14ac:dyDescent="0.25">
      <c r="A140" s="6" t="s">
        <v>239</v>
      </c>
      <c r="B140" s="7" t="s">
        <v>240</v>
      </c>
      <c r="C140" s="6" t="s">
        <v>241</v>
      </c>
      <c r="D140" s="8">
        <v>8000.0302199999996</v>
      </c>
      <c r="E140" s="8">
        <f t="shared" ref="E140:E155" si="14">D140*(1+$B$4)</f>
        <v>8640.0326375999994</v>
      </c>
      <c r="F140" s="9">
        <f t="shared" ref="F140:F155" si="15">ROUND(E140*(1+$E$4), 0)</f>
        <v>10195</v>
      </c>
    </row>
    <row r="141" spans="1:6" ht="18.95" customHeight="1" x14ac:dyDescent="0.25">
      <c r="A141" s="10" t="s">
        <v>239</v>
      </c>
      <c r="B141" s="11" t="s">
        <v>242</v>
      </c>
      <c r="C141" s="10" t="s">
        <v>243</v>
      </c>
      <c r="D141" s="12">
        <v>2700.0428400000001</v>
      </c>
      <c r="E141" s="12">
        <f t="shared" si="14"/>
        <v>2916.0462672000003</v>
      </c>
      <c r="F141" s="9">
        <f t="shared" si="15"/>
        <v>3441</v>
      </c>
    </row>
    <row r="142" spans="1:6" ht="18.95" customHeight="1" x14ac:dyDescent="0.25">
      <c r="A142" s="6" t="s">
        <v>239</v>
      </c>
      <c r="B142" s="7" t="s">
        <v>244</v>
      </c>
      <c r="C142" s="6" t="s">
        <v>245</v>
      </c>
      <c r="D142" s="8">
        <v>9487.5779999999995</v>
      </c>
      <c r="E142" s="8">
        <f t="shared" si="14"/>
        <v>10246.58424</v>
      </c>
      <c r="F142" s="9">
        <f t="shared" si="15"/>
        <v>12091</v>
      </c>
    </row>
    <row r="143" spans="1:6" ht="18.95" customHeight="1" x14ac:dyDescent="0.25">
      <c r="A143" s="10" t="s">
        <v>239</v>
      </c>
      <c r="B143" s="11" t="s">
        <v>246</v>
      </c>
      <c r="C143" s="10" t="s">
        <v>245</v>
      </c>
      <c r="D143" s="12">
        <v>8573.6370000000006</v>
      </c>
      <c r="E143" s="12">
        <f t="shared" si="14"/>
        <v>9259.5279600000013</v>
      </c>
      <c r="F143" s="9">
        <f t="shared" si="15"/>
        <v>10926</v>
      </c>
    </row>
    <row r="144" spans="1:6" ht="18.95" customHeight="1" x14ac:dyDescent="0.25">
      <c r="A144" s="6" t="s">
        <v>239</v>
      </c>
      <c r="B144" s="7" t="s">
        <v>247</v>
      </c>
      <c r="C144" s="6" t="s">
        <v>248</v>
      </c>
      <c r="D144" s="8">
        <v>2700.0428400000001</v>
      </c>
      <c r="E144" s="8">
        <f t="shared" si="14"/>
        <v>2916.0462672000003</v>
      </c>
      <c r="F144" s="9">
        <f t="shared" si="15"/>
        <v>3441</v>
      </c>
    </row>
    <row r="145" spans="1:6" ht="18.95" customHeight="1" x14ac:dyDescent="0.25">
      <c r="A145" s="10" t="s">
        <v>239</v>
      </c>
      <c r="B145" s="11" t="s">
        <v>249</v>
      </c>
      <c r="C145" s="10" t="s">
        <v>248</v>
      </c>
      <c r="D145" s="12">
        <v>2700.0428400000001</v>
      </c>
      <c r="E145" s="12">
        <f t="shared" si="14"/>
        <v>2916.0462672000003</v>
      </c>
      <c r="F145" s="9">
        <f t="shared" si="15"/>
        <v>3441</v>
      </c>
    </row>
    <row r="146" spans="1:6" ht="18.95" customHeight="1" x14ac:dyDescent="0.25">
      <c r="A146" s="6" t="s">
        <v>239</v>
      </c>
      <c r="B146" s="7" t="s">
        <v>250</v>
      </c>
      <c r="C146" s="6" t="s">
        <v>251</v>
      </c>
      <c r="D146" s="8">
        <v>1000.11258</v>
      </c>
      <c r="E146" s="8">
        <f t="shared" si="14"/>
        <v>1080.1215864000001</v>
      </c>
      <c r="F146" s="9">
        <f t="shared" si="15"/>
        <v>1275</v>
      </c>
    </row>
    <row r="147" spans="1:6" ht="18.95" customHeight="1" x14ac:dyDescent="0.25">
      <c r="A147" s="10" t="s">
        <v>239</v>
      </c>
      <c r="B147" s="11" t="s">
        <v>252</v>
      </c>
      <c r="C147" s="10" t="s">
        <v>251</v>
      </c>
      <c r="D147" s="12">
        <v>1000.11258</v>
      </c>
      <c r="E147" s="12">
        <f t="shared" si="14"/>
        <v>1080.1215864000001</v>
      </c>
      <c r="F147" s="9">
        <f t="shared" si="15"/>
        <v>1275</v>
      </c>
    </row>
    <row r="148" spans="1:6" ht="18.95" customHeight="1" x14ac:dyDescent="0.25">
      <c r="A148" s="6" t="s">
        <v>239</v>
      </c>
      <c r="B148" s="7" t="s">
        <v>253</v>
      </c>
      <c r="C148" s="6" t="s">
        <v>254</v>
      </c>
      <c r="D148" s="8">
        <v>3499.9588199999998</v>
      </c>
      <c r="E148" s="8">
        <f t="shared" si="14"/>
        <v>3779.9555255999999</v>
      </c>
      <c r="F148" s="9">
        <f t="shared" si="15"/>
        <v>4460</v>
      </c>
    </row>
    <row r="149" spans="1:6" ht="18.95" customHeight="1" x14ac:dyDescent="0.25">
      <c r="A149" s="10" t="s">
        <v>239</v>
      </c>
      <c r="B149" s="11" t="s">
        <v>255</v>
      </c>
      <c r="C149" s="10" t="s">
        <v>256</v>
      </c>
      <c r="D149" s="12">
        <v>1240.3485000000001</v>
      </c>
      <c r="E149" s="12">
        <f t="shared" si="14"/>
        <v>1339.5763800000002</v>
      </c>
      <c r="F149" s="9">
        <f t="shared" si="15"/>
        <v>1581</v>
      </c>
    </row>
    <row r="150" spans="1:6" ht="18.95" customHeight="1" x14ac:dyDescent="0.25">
      <c r="A150" s="6" t="s">
        <v>239</v>
      </c>
      <c r="B150" s="7" t="s">
        <v>257</v>
      </c>
      <c r="C150" s="6" t="s">
        <v>258</v>
      </c>
      <c r="D150" s="8">
        <v>8929.7757000000001</v>
      </c>
      <c r="E150" s="8">
        <f t="shared" si="14"/>
        <v>9644.1577560000005</v>
      </c>
      <c r="F150" s="9">
        <f t="shared" si="15"/>
        <v>11380</v>
      </c>
    </row>
    <row r="151" spans="1:6" ht="18.95" customHeight="1" x14ac:dyDescent="0.25">
      <c r="A151" s="10" t="s">
        <v>239</v>
      </c>
      <c r="B151" s="11" t="s">
        <v>259</v>
      </c>
      <c r="C151" s="10" t="s">
        <v>260</v>
      </c>
      <c r="D151" s="12">
        <v>18704.25</v>
      </c>
      <c r="E151" s="12">
        <f t="shared" si="14"/>
        <v>20200.59</v>
      </c>
      <c r="F151" s="9">
        <f t="shared" si="15"/>
        <v>23837</v>
      </c>
    </row>
    <row r="152" spans="1:6" ht="18.95" customHeight="1" x14ac:dyDescent="0.25">
      <c r="A152" s="6" t="s">
        <v>239</v>
      </c>
      <c r="B152" s="7" t="s">
        <v>261</v>
      </c>
      <c r="C152" s="6" t="s">
        <v>262</v>
      </c>
      <c r="D152" s="8">
        <v>15379.05</v>
      </c>
      <c r="E152" s="8">
        <f t="shared" si="14"/>
        <v>16609.374</v>
      </c>
      <c r="F152" s="9">
        <f t="shared" si="15"/>
        <v>19599</v>
      </c>
    </row>
    <row r="153" spans="1:6" ht="18.95" customHeight="1" x14ac:dyDescent="0.25">
      <c r="A153" s="10" t="s">
        <v>239</v>
      </c>
      <c r="B153" s="11" t="s">
        <v>263</v>
      </c>
      <c r="C153" s="10" t="s">
        <v>264</v>
      </c>
      <c r="D153" s="12">
        <v>2979.7117199999998</v>
      </c>
      <c r="E153" s="12">
        <f t="shared" si="14"/>
        <v>3218.0886575999998</v>
      </c>
      <c r="F153" s="9">
        <f t="shared" si="15"/>
        <v>3797</v>
      </c>
    </row>
    <row r="154" spans="1:6" ht="18.95" customHeight="1" x14ac:dyDescent="0.25">
      <c r="A154" s="6" t="s">
        <v>239</v>
      </c>
      <c r="B154" s="7" t="s">
        <v>265</v>
      </c>
      <c r="C154" s="6" t="s">
        <v>266</v>
      </c>
      <c r="D154" s="8">
        <v>121.8588</v>
      </c>
      <c r="E154" s="8">
        <f t="shared" si="14"/>
        <v>131.60750400000001</v>
      </c>
      <c r="F154" s="9">
        <f t="shared" si="15"/>
        <v>155</v>
      </c>
    </row>
    <row r="155" spans="1:6" ht="18.95" customHeight="1" x14ac:dyDescent="0.25">
      <c r="A155" s="10" t="s">
        <v>239</v>
      </c>
      <c r="B155" s="11" t="s">
        <v>267</v>
      </c>
      <c r="C155" s="10" t="s">
        <v>268</v>
      </c>
      <c r="D155" s="12">
        <v>139.2672</v>
      </c>
      <c r="E155" s="12">
        <f t="shared" si="14"/>
        <v>150.40857600000001</v>
      </c>
      <c r="F155" s="9">
        <f t="shared" si="15"/>
        <v>177</v>
      </c>
    </row>
    <row r="157" spans="1:6" ht="21.95" customHeight="1" x14ac:dyDescent="0.25">
      <c r="A157" s="13" t="s">
        <v>269</v>
      </c>
      <c r="B157" s="14"/>
      <c r="C157" s="14"/>
      <c r="D157" s="14"/>
      <c r="E157" s="14"/>
      <c r="F157" s="14"/>
    </row>
    <row r="158" spans="1:6" ht="20.100000000000001" customHeight="1" x14ac:dyDescent="0.25">
      <c r="A158" s="4" t="s">
        <v>7</v>
      </c>
      <c r="B158" s="4" t="s">
        <v>8</v>
      </c>
      <c r="C158" s="4" t="s">
        <v>9</v>
      </c>
      <c r="D158" s="5" t="s">
        <v>10</v>
      </c>
      <c r="E158" s="5" t="s">
        <v>11</v>
      </c>
      <c r="F158" s="5" t="s">
        <v>12</v>
      </c>
    </row>
    <row r="159" spans="1:6" ht="18.95" customHeight="1" x14ac:dyDescent="0.25">
      <c r="A159" s="6" t="s">
        <v>270</v>
      </c>
      <c r="B159" s="7" t="s">
        <v>271</v>
      </c>
      <c r="C159" s="6" t="s">
        <v>272</v>
      </c>
      <c r="D159" s="8">
        <v>552.71669999999995</v>
      </c>
      <c r="E159" s="8">
        <f t="shared" ref="E159:E178" si="16">D159*(1+$B$4)</f>
        <v>596.93403599999999</v>
      </c>
      <c r="F159" s="9">
        <f t="shared" ref="F159:F178" si="17">ROUND(E159*(1+$E$4), 0)</f>
        <v>704</v>
      </c>
    </row>
    <row r="160" spans="1:6" ht="18.95" customHeight="1" x14ac:dyDescent="0.25">
      <c r="A160" s="10" t="s">
        <v>270</v>
      </c>
      <c r="B160" s="11" t="s">
        <v>273</v>
      </c>
      <c r="C160" s="10" t="s">
        <v>274</v>
      </c>
      <c r="D160" s="12">
        <v>687.6318</v>
      </c>
      <c r="E160" s="12">
        <f t="shared" si="16"/>
        <v>742.64234400000009</v>
      </c>
      <c r="F160" s="9">
        <f t="shared" si="17"/>
        <v>876</v>
      </c>
    </row>
    <row r="161" spans="1:6" ht="18.95" customHeight="1" x14ac:dyDescent="0.25">
      <c r="A161" s="6" t="s">
        <v>270</v>
      </c>
      <c r="B161" s="7" t="s">
        <v>275</v>
      </c>
      <c r="C161" s="6" t="s">
        <v>276</v>
      </c>
      <c r="D161" s="8">
        <v>844.30739999999992</v>
      </c>
      <c r="E161" s="8">
        <f t="shared" si="16"/>
        <v>911.851992</v>
      </c>
      <c r="F161" s="9">
        <f t="shared" si="17"/>
        <v>1076</v>
      </c>
    </row>
    <row r="162" spans="1:6" ht="18.95" customHeight="1" x14ac:dyDescent="0.25">
      <c r="A162" s="10" t="s">
        <v>270</v>
      </c>
      <c r="B162" s="11" t="s">
        <v>277</v>
      </c>
      <c r="C162" s="10" t="s">
        <v>278</v>
      </c>
      <c r="D162" s="12">
        <v>974.8703999999999</v>
      </c>
      <c r="E162" s="12">
        <f t="shared" si="16"/>
        <v>1052.860032</v>
      </c>
      <c r="F162" s="9">
        <f t="shared" si="17"/>
        <v>1242</v>
      </c>
    </row>
    <row r="163" spans="1:6" ht="18.95" customHeight="1" x14ac:dyDescent="0.25">
      <c r="A163" s="6" t="s">
        <v>270</v>
      </c>
      <c r="B163" s="7" t="s">
        <v>279</v>
      </c>
      <c r="C163" s="6" t="s">
        <v>280</v>
      </c>
      <c r="D163" s="8">
        <v>957.46199999999999</v>
      </c>
      <c r="E163" s="8">
        <f t="shared" si="16"/>
        <v>1034.0589600000001</v>
      </c>
      <c r="F163" s="9">
        <f t="shared" si="17"/>
        <v>1220</v>
      </c>
    </row>
    <row r="164" spans="1:6" ht="18.95" customHeight="1" x14ac:dyDescent="0.25">
      <c r="A164" s="10" t="s">
        <v>270</v>
      </c>
      <c r="B164" s="11" t="s">
        <v>281</v>
      </c>
      <c r="C164" s="10" t="s">
        <v>282</v>
      </c>
      <c r="D164" s="12">
        <v>1114.1376</v>
      </c>
      <c r="E164" s="12">
        <f t="shared" si="16"/>
        <v>1203.2686080000001</v>
      </c>
      <c r="F164" s="9">
        <f t="shared" si="17"/>
        <v>1420</v>
      </c>
    </row>
    <row r="165" spans="1:6" ht="18.95" customHeight="1" x14ac:dyDescent="0.25">
      <c r="A165" s="6" t="s">
        <v>270</v>
      </c>
      <c r="B165" s="7" t="s">
        <v>283</v>
      </c>
      <c r="C165" s="6" t="s">
        <v>284</v>
      </c>
      <c r="D165" s="8">
        <v>1293.6300000000001</v>
      </c>
      <c r="E165" s="8">
        <f t="shared" si="16"/>
        <v>1397.1204000000002</v>
      </c>
      <c r="F165" s="9">
        <f t="shared" si="17"/>
        <v>1649</v>
      </c>
    </row>
    <row r="166" spans="1:6" ht="18.95" customHeight="1" x14ac:dyDescent="0.25">
      <c r="A166" s="10" t="s">
        <v>270</v>
      </c>
      <c r="B166" s="11" t="s">
        <v>285</v>
      </c>
      <c r="C166" s="10" t="s">
        <v>286</v>
      </c>
      <c r="D166" s="12">
        <v>1827.8820000000001</v>
      </c>
      <c r="E166" s="12">
        <f t="shared" si="16"/>
        <v>1974.1125600000003</v>
      </c>
      <c r="F166" s="9">
        <f t="shared" si="17"/>
        <v>2329</v>
      </c>
    </row>
    <row r="167" spans="1:6" ht="18.95" customHeight="1" x14ac:dyDescent="0.25">
      <c r="A167" s="6" t="s">
        <v>270</v>
      </c>
      <c r="B167" s="7" t="s">
        <v>287</v>
      </c>
      <c r="C167" s="6" t="s">
        <v>288</v>
      </c>
      <c r="D167" s="8">
        <v>1956.9780000000001</v>
      </c>
      <c r="E167" s="8">
        <f t="shared" si="16"/>
        <v>2113.5362400000004</v>
      </c>
      <c r="F167" s="9">
        <f t="shared" si="17"/>
        <v>2494</v>
      </c>
    </row>
    <row r="168" spans="1:6" ht="18.95" customHeight="1" x14ac:dyDescent="0.25">
      <c r="A168" s="10" t="s">
        <v>270</v>
      </c>
      <c r="B168" s="11" t="s">
        <v>289</v>
      </c>
      <c r="C168" s="10" t="s">
        <v>290</v>
      </c>
      <c r="D168" s="12">
        <v>3488.5259999999998</v>
      </c>
      <c r="E168" s="12">
        <f t="shared" si="16"/>
        <v>3767.60808</v>
      </c>
      <c r="F168" s="9">
        <f t="shared" si="17"/>
        <v>4446</v>
      </c>
    </row>
    <row r="169" spans="1:6" ht="18.95" customHeight="1" x14ac:dyDescent="0.25">
      <c r="A169" s="6" t="s">
        <v>270</v>
      </c>
      <c r="B169" s="7" t="s">
        <v>291</v>
      </c>
      <c r="C169" s="6" t="s">
        <v>292</v>
      </c>
      <c r="D169" s="8">
        <v>3658.6979999999999</v>
      </c>
      <c r="E169" s="8">
        <f t="shared" si="16"/>
        <v>3951.3938400000002</v>
      </c>
      <c r="F169" s="9">
        <f t="shared" si="17"/>
        <v>4663</v>
      </c>
    </row>
    <row r="170" spans="1:6" ht="18.95" customHeight="1" x14ac:dyDescent="0.25">
      <c r="A170" s="10" t="s">
        <v>270</v>
      </c>
      <c r="B170" s="11" t="s">
        <v>293</v>
      </c>
      <c r="C170" s="10" t="s">
        <v>294</v>
      </c>
      <c r="D170" s="12">
        <v>3999.0419999999999</v>
      </c>
      <c r="E170" s="12">
        <f t="shared" si="16"/>
        <v>4318.9653600000001</v>
      </c>
      <c r="F170" s="9">
        <f t="shared" si="17"/>
        <v>5096</v>
      </c>
    </row>
    <row r="171" spans="1:6" ht="18.95" customHeight="1" x14ac:dyDescent="0.25">
      <c r="A171" s="6" t="s">
        <v>270</v>
      </c>
      <c r="B171" s="7" t="s">
        <v>295</v>
      </c>
      <c r="C171" s="6" t="s">
        <v>296</v>
      </c>
      <c r="D171" s="8">
        <v>6126.192</v>
      </c>
      <c r="E171" s="8">
        <f t="shared" si="16"/>
        <v>6616.2873600000003</v>
      </c>
      <c r="F171" s="9">
        <f t="shared" si="17"/>
        <v>7807</v>
      </c>
    </row>
    <row r="172" spans="1:6" ht="18.95" customHeight="1" x14ac:dyDescent="0.25">
      <c r="A172" s="10" t="s">
        <v>270</v>
      </c>
      <c r="B172" s="11" t="s">
        <v>297</v>
      </c>
      <c r="C172" s="10" t="s">
        <v>298</v>
      </c>
      <c r="D172" s="12">
        <v>5190.2460000000001</v>
      </c>
      <c r="E172" s="12">
        <f t="shared" si="16"/>
        <v>5605.4656800000002</v>
      </c>
      <c r="F172" s="9">
        <f t="shared" si="17"/>
        <v>6614</v>
      </c>
    </row>
    <row r="173" spans="1:6" ht="18.95" customHeight="1" x14ac:dyDescent="0.25">
      <c r="A173" s="6" t="s">
        <v>270</v>
      </c>
      <c r="B173" s="7" t="s">
        <v>299</v>
      </c>
      <c r="C173" s="6" t="s">
        <v>300</v>
      </c>
      <c r="D173" s="8">
        <v>6977.0519999999997</v>
      </c>
      <c r="E173" s="8">
        <f t="shared" si="16"/>
        <v>7535.2161599999999</v>
      </c>
      <c r="F173" s="9">
        <f t="shared" si="17"/>
        <v>8892</v>
      </c>
    </row>
    <row r="174" spans="1:6" ht="18.95" customHeight="1" x14ac:dyDescent="0.25">
      <c r="A174" s="10" t="s">
        <v>270</v>
      </c>
      <c r="B174" s="11" t="s">
        <v>301</v>
      </c>
      <c r="C174" s="10" t="s">
        <v>302</v>
      </c>
      <c r="D174" s="12">
        <v>21271.5</v>
      </c>
      <c r="E174" s="12">
        <f t="shared" si="16"/>
        <v>22973.22</v>
      </c>
      <c r="F174" s="9">
        <f t="shared" si="17"/>
        <v>27108</v>
      </c>
    </row>
    <row r="175" spans="1:6" ht="18.95" customHeight="1" x14ac:dyDescent="0.25">
      <c r="A175" s="6" t="s">
        <v>270</v>
      </c>
      <c r="B175" s="7" t="s">
        <v>303</v>
      </c>
      <c r="C175" s="6" t="s">
        <v>304</v>
      </c>
      <c r="D175" s="8">
        <v>37352.754000000001</v>
      </c>
      <c r="E175" s="8">
        <f t="shared" si="16"/>
        <v>40340.974320000001</v>
      </c>
      <c r="F175" s="9">
        <f t="shared" si="17"/>
        <v>47602</v>
      </c>
    </row>
    <row r="176" spans="1:6" ht="18.95" customHeight="1" x14ac:dyDescent="0.25">
      <c r="A176" s="10" t="s">
        <v>270</v>
      </c>
      <c r="B176" s="11" t="s">
        <v>305</v>
      </c>
      <c r="C176" s="10" t="s">
        <v>306</v>
      </c>
      <c r="D176" s="12">
        <v>2722.752</v>
      </c>
      <c r="E176" s="12">
        <f t="shared" si="16"/>
        <v>2940.5721600000002</v>
      </c>
      <c r="F176" s="9">
        <f t="shared" si="17"/>
        <v>3470</v>
      </c>
    </row>
    <row r="177" spans="1:6" ht="18.95" customHeight="1" x14ac:dyDescent="0.25">
      <c r="A177" s="6" t="s">
        <v>270</v>
      </c>
      <c r="B177" s="7" t="s">
        <v>307</v>
      </c>
      <c r="C177" s="6" t="s">
        <v>308</v>
      </c>
      <c r="D177" s="8">
        <v>3063.096</v>
      </c>
      <c r="E177" s="8">
        <f t="shared" si="16"/>
        <v>3308.1436800000001</v>
      </c>
      <c r="F177" s="9">
        <f t="shared" si="17"/>
        <v>3904</v>
      </c>
    </row>
    <row r="178" spans="1:6" ht="18.95" customHeight="1" x14ac:dyDescent="0.25">
      <c r="A178" s="10" t="s">
        <v>270</v>
      </c>
      <c r="B178" s="11" t="s">
        <v>309</v>
      </c>
      <c r="C178" s="10" t="s">
        <v>310</v>
      </c>
      <c r="D178" s="12">
        <v>3999.0419999999999</v>
      </c>
      <c r="E178" s="12">
        <f t="shared" si="16"/>
        <v>4318.9653600000001</v>
      </c>
      <c r="F178" s="9">
        <f t="shared" si="17"/>
        <v>5096</v>
      </c>
    </row>
    <row r="180" spans="1:6" ht="21.95" customHeight="1" x14ac:dyDescent="0.25">
      <c r="A180" s="13" t="s">
        <v>311</v>
      </c>
      <c r="B180" s="14"/>
      <c r="C180" s="14"/>
      <c r="D180" s="14"/>
      <c r="E180" s="14"/>
      <c r="F180" s="14"/>
    </row>
    <row r="181" spans="1:6" ht="20.100000000000001" customHeight="1" x14ac:dyDescent="0.25">
      <c r="A181" s="4" t="s">
        <v>7</v>
      </c>
      <c r="B181" s="4" t="s">
        <v>8</v>
      </c>
      <c r="C181" s="4" t="s">
        <v>9</v>
      </c>
      <c r="D181" s="5" t="s">
        <v>10</v>
      </c>
      <c r="E181" s="5" t="s">
        <v>11</v>
      </c>
      <c r="F181" s="5" t="s">
        <v>12</v>
      </c>
    </row>
    <row r="182" spans="1:6" ht="18.95" customHeight="1" x14ac:dyDescent="0.25">
      <c r="A182" s="6" t="s">
        <v>312</v>
      </c>
      <c r="B182" s="7" t="s">
        <v>313</v>
      </c>
      <c r="C182" s="6" t="s">
        <v>314</v>
      </c>
      <c r="D182" s="8">
        <v>2286.0749999999998</v>
      </c>
      <c r="E182" s="8">
        <f>D182*(1+$B$4)</f>
        <v>2468.9609999999998</v>
      </c>
      <c r="F182" s="9">
        <f>ROUND(E182*(1+$E$4), 0)</f>
        <v>2913</v>
      </c>
    </row>
    <row r="183" spans="1:6" ht="18.95" customHeight="1" x14ac:dyDescent="0.25">
      <c r="A183" s="10" t="s">
        <v>312</v>
      </c>
      <c r="B183" s="11" t="s">
        <v>315</v>
      </c>
      <c r="C183" s="10" t="s">
        <v>314</v>
      </c>
      <c r="D183" s="12">
        <v>2286.0749999999998</v>
      </c>
      <c r="E183" s="12">
        <f>D183*(1+$B$4)</f>
        <v>2468.9609999999998</v>
      </c>
      <c r="F183" s="9">
        <f>ROUND(E183*(1+$E$4), 0)</f>
        <v>2913</v>
      </c>
    </row>
    <row r="184" spans="1:6" ht="18.95" customHeight="1" x14ac:dyDescent="0.25">
      <c r="A184" s="6" t="s">
        <v>312</v>
      </c>
      <c r="B184" s="7" t="s">
        <v>316</v>
      </c>
      <c r="C184" s="6" t="s">
        <v>317</v>
      </c>
      <c r="D184" s="8">
        <v>3242.07</v>
      </c>
      <c r="E184" s="8">
        <f>D184*(1+$B$4)</f>
        <v>3501.4356000000002</v>
      </c>
      <c r="F184" s="9">
        <f>ROUND(E184*(1+$E$4), 0)</f>
        <v>4132</v>
      </c>
    </row>
    <row r="185" spans="1:6" ht="18.95" customHeight="1" x14ac:dyDescent="0.25">
      <c r="A185" s="10" t="s">
        <v>312</v>
      </c>
      <c r="B185" s="11" t="s">
        <v>318</v>
      </c>
      <c r="C185" s="10" t="s">
        <v>319</v>
      </c>
      <c r="D185" s="12">
        <v>5902.23</v>
      </c>
      <c r="E185" s="12">
        <f>D185*(1+$B$4)</f>
        <v>6374.4084000000003</v>
      </c>
      <c r="F185" s="9">
        <f>ROUND(E185*(1+$E$4), 0)</f>
        <v>7522</v>
      </c>
    </row>
    <row r="186" spans="1:6" ht="18.95" customHeight="1" x14ac:dyDescent="0.25">
      <c r="A186" s="6" t="s">
        <v>312</v>
      </c>
      <c r="B186" s="7" t="s">
        <v>320</v>
      </c>
      <c r="C186" s="6" t="s">
        <v>321</v>
      </c>
      <c r="D186" s="8">
        <v>7066.05</v>
      </c>
      <c r="E186" s="8">
        <f>D186*(1+$B$4)</f>
        <v>7631.3340000000007</v>
      </c>
      <c r="F186" s="9">
        <f>ROUND(E186*(1+$E$4), 0)</f>
        <v>9005</v>
      </c>
    </row>
    <row r="188" spans="1:6" ht="21.95" customHeight="1" x14ac:dyDescent="0.25">
      <c r="A188" s="13" t="s">
        <v>322</v>
      </c>
      <c r="B188" s="14"/>
      <c r="C188" s="14"/>
      <c r="D188" s="14"/>
      <c r="E188" s="14"/>
      <c r="F188" s="14"/>
    </row>
    <row r="189" spans="1:6" ht="20.100000000000001" customHeight="1" x14ac:dyDescent="0.25">
      <c r="A189" s="4" t="s">
        <v>7</v>
      </c>
      <c r="B189" s="4" t="s">
        <v>8</v>
      </c>
      <c r="C189" s="4" t="s">
        <v>9</v>
      </c>
      <c r="D189" s="5" t="s">
        <v>10</v>
      </c>
      <c r="E189" s="5" t="s">
        <v>11</v>
      </c>
      <c r="F189" s="5" t="s">
        <v>12</v>
      </c>
    </row>
    <row r="190" spans="1:6" ht="18.95" customHeight="1" x14ac:dyDescent="0.25">
      <c r="A190" s="6" t="s">
        <v>323</v>
      </c>
      <c r="B190" s="7" t="s">
        <v>324</v>
      </c>
      <c r="C190" s="6" t="s">
        <v>325</v>
      </c>
      <c r="D190" s="8">
        <v>448.61840000000001</v>
      </c>
      <c r="E190" s="8">
        <f t="shared" ref="E190:E198" si="18">D190*(1+$B$4)</f>
        <v>484.50787200000002</v>
      </c>
      <c r="F190" s="9">
        <f t="shared" ref="F190:F198" si="19">ROUND(E190*(1+$E$4), 0)</f>
        <v>572</v>
      </c>
    </row>
    <row r="191" spans="1:6" ht="18.95" customHeight="1" x14ac:dyDescent="0.25">
      <c r="A191" s="10" t="s">
        <v>323</v>
      </c>
      <c r="B191" s="11" t="s">
        <v>326</v>
      </c>
      <c r="C191" s="10" t="s">
        <v>327</v>
      </c>
      <c r="D191" s="12">
        <v>587.5335</v>
      </c>
      <c r="E191" s="12">
        <f t="shared" si="18"/>
        <v>634.53618000000006</v>
      </c>
      <c r="F191" s="9">
        <f t="shared" si="19"/>
        <v>749</v>
      </c>
    </row>
    <row r="192" spans="1:6" ht="18.95" customHeight="1" x14ac:dyDescent="0.25">
      <c r="A192" s="6" t="s">
        <v>323</v>
      </c>
      <c r="B192" s="7" t="s">
        <v>328</v>
      </c>
      <c r="C192" s="6" t="s">
        <v>329</v>
      </c>
      <c r="D192" s="8">
        <v>940.05360000000007</v>
      </c>
      <c r="E192" s="8">
        <f t="shared" si="18"/>
        <v>1015.2578880000001</v>
      </c>
      <c r="F192" s="9">
        <f t="shared" si="19"/>
        <v>1198</v>
      </c>
    </row>
    <row r="193" spans="1:6" ht="18.95" customHeight="1" x14ac:dyDescent="0.25">
      <c r="A193" s="10" t="s">
        <v>323</v>
      </c>
      <c r="B193" s="11" t="s">
        <v>330</v>
      </c>
      <c r="C193" s="10" t="s">
        <v>331</v>
      </c>
      <c r="D193" s="12">
        <v>422.50580000000002</v>
      </c>
      <c r="E193" s="12">
        <f t="shared" si="18"/>
        <v>456.30626400000006</v>
      </c>
      <c r="F193" s="9">
        <f t="shared" si="19"/>
        <v>538</v>
      </c>
    </row>
    <row r="194" spans="1:6" ht="18.95" customHeight="1" x14ac:dyDescent="0.25">
      <c r="A194" s="6" t="s">
        <v>323</v>
      </c>
      <c r="B194" s="7" t="s">
        <v>332</v>
      </c>
      <c r="C194" s="6" t="s">
        <v>333</v>
      </c>
      <c r="D194" s="8">
        <v>828.60320000000002</v>
      </c>
      <c r="E194" s="8">
        <f t="shared" si="18"/>
        <v>894.89145600000006</v>
      </c>
      <c r="F194" s="9">
        <f t="shared" si="19"/>
        <v>1056</v>
      </c>
    </row>
    <row r="195" spans="1:6" ht="18.95" customHeight="1" x14ac:dyDescent="0.25">
      <c r="A195" s="10" t="s">
        <v>323</v>
      </c>
      <c r="B195" s="11" t="s">
        <v>334</v>
      </c>
      <c r="C195" s="10" t="s">
        <v>335</v>
      </c>
      <c r="D195" s="12">
        <v>565.77300000000002</v>
      </c>
      <c r="E195" s="12">
        <f t="shared" si="18"/>
        <v>611.03484000000003</v>
      </c>
      <c r="F195" s="9">
        <f t="shared" si="19"/>
        <v>721</v>
      </c>
    </row>
    <row r="196" spans="1:6" ht="18.95" customHeight="1" x14ac:dyDescent="0.25">
      <c r="A196" s="6" t="s">
        <v>323</v>
      </c>
      <c r="B196" s="7" t="s">
        <v>336</v>
      </c>
      <c r="C196" s="6" t="s">
        <v>337</v>
      </c>
      <c r="D196" s="8">
        <v>696.33600000000001</v>
      </c>
      <c r="E196" s="8">
        <f t="shared" si="18"/>
        <v>752.04288000000008</v>
      </c>
      <c r="F196" s="9">
        <f t="shared" si="19"/>
        <v>887</v>
      </c>
    </row>
    <row r="197" spans="1:6" ht="18.95" customHeight="1" x14ac:dyDescent="0.25">
      <c r="A197" s="10" t="s">
        <v>323</v>
      </c>
      <c r="B197" s="11" t="s">
        <v>338</v>
      </c>
      <c r="C197" s="10" t="s">
        <v>339</v>
      </c>
      <c r="D197" s="12">
        <v>783.37800000000004</v>
      </c>
      <c r="E197" s="12">
        <f t="shared" si="18"/>
        <v>846.04824000000008</v>
      </c>
      <c r="F197" s="9">
        <f t="shared" si="19"/>
        <v>998</v>
      </c>
    </row>
    <row r="198" spans="1:6" ht="18.95" customHeight="1" x14ac:dyDescent="0.25">
      <c r="A198" s="6" t="s">
        <v>323</v>
      </c>
      <c r="B198" s="7" t="s">
        <v>340</v>
      </c>
      <c r="C198" s="6" t="s">
        <v>341</v>
      </c>
      <c r="D198" s="8">
        <v>1000.9829999999999</v>
      </c>
      <c r="E198" s="8">
        <f t="shared" si="18"/>
        <v>1081.0616400000001</v>
      </c>
      <c r="F198" s="9">
        <f t="shared" si="19"/>
        <v>1276</v>
      </c>
    </row>
    <row r="200" spans="1:6" ht="21.95" customHeight="1" x14ac:dyDescent="0.25">
      <c r="A200" s="13" t="s">
        <v>342</v>
      </c>
      <c r="B200" s="14"/>
      <c r="C200" s="14"/>
      <c r="D200" s="14"/>
      <c r="E200" s="14"/>
      <c r="F200" s="14"/>
    </row>
    <row r="201" spans="1:6" ht="20.100000000000001" customHeight="1" x14ac:dyDescent="0.25">
      <c r="A201" s="4" t="s">
        <v>7</v>
      </c>
      <c r="B201" s="4" t="s">
        <v>8</v>
      </c>
      <c r="C201" s="4" t="s">
        <v>9</v>
      </c>
      <c r="D201" s="5" t="s">
        <v>10</v>
      </c>
      <c r="E201" s="5" t="s">
        <v>11</v>
      </c>
      <c r="F201" s="5" t="s">
        <v>12</v>
      </c>
    </row>
    <row r="202" spans="1:6" ht="18.95" customHeight="1" x14ac:dyDescent="0.25">
      <c r="A202" s="6" t="s">
        <v>343</v>
      </c>
      <c r="B202" s="7" t="s">
        <v>344</v>
      </c>
      <c r="C202" s="6" t="s">
        <v>343</v>
      </c>
      <c r="D202" s="8">
        <v>11.31546</v>
      </c>
      <c r="E202" s="8">
        <f>D202*(1+$B$4)</f>
        <v>12.220696800000001</v>
      </c>
      <c r="F202" s="9">
        <f>ROUND(E202*(1+$E$4), 0)</f>
        <v>14</v>
      </c>
    </row>
    <row r="204" spans="1:6" ht="21.95" customHeight="1" x14ac:dyDescent="0.25">
      <c r="A204" s="13" t="s">
        <v>345</v>
      </c>
      <c r="B204" s="14"/>
      <c r="C204" s="14"/>
      <c r="D204" s="14"/>
      <c r="E204" s="14"/>
      <c r="F204" s="14"/>
    </row>
    <row r="205" spans="1:6" ht="20.100000000000001" customHeight="1" x14ac:dyDescent="0.25">
      <c r="A205" s="4" t="s">
        <v>7</v>
      </c>
      <c r="B205" s="4" t="s">
        <v>8</v>
      </c>
      <c r="C205" s="4" t="s">
        <v>9</v>
      </c>
      <c r="D205" s="5" t="s">
        <v>10</v>
      </c>
      <c r="E205" s="5" t="s">
        <v>11</v>
      </c>
      <c r="F205" s="5" t="s">
        <v>12</v>
      </c>
    </row>
    <row r="206" spans="1:6" ht="18.95" customHeight="1" x14ac:dyDescent="0.25">
      <c r="A206" s="6" t="s">
        <v>346</v>
      </c>
      <c r="B206" s="7" t="s">
        <v>347</v>
      </c>
      <c r="C206" s="6" t="s">
        <v>346</v>
      </c>
      <c r="D206" s="8">
        <v>6.0929399999999996</v>
      </c>
      <c r="E206" s="8">
        <f>D206*(1+$B$4)</f>
        <v>6.5803751999999998</v>
      </c>
      <c r="F206" s="9">
        <f>ROUND(E206*(1+$E$4), 0)</f>
        <v>8</v>
      </c>
    </row>
    <row r="208" spans="1:6" ht="21.95" customHeight="1" x14ac:dyDescent="0.25">
      <c r="A208" s="13" t="s">
        <v>348</v>
      </c>
      <c r="B208" s="14"/>
      <c r="C208" s="14"/>
      <c r="D208" s="14"/>
      <c r="E208" s="14"/>
      <c r="F208" s="14"/>
    </row>
    <row r="209" spans="1:6" ht="20.100000000000001" customHeight="1" x14ac:dyDescent="0.25">
      <c r="A209" s="4" t="s">
        <v>7</v>
      </c>
      <c r="B209" s="4" t="s">
        <v>8</v>
      </c>
      <c r="C209" s="4" t="s">
        <v>9</v>
      </c>
      <c r="D209" s="5" t="s">
        <v>10</v>
      </c>
      <c r="E209" s="5" t="s">
        <v>11</v>
      </c>
      <c r="F209" s="5" t="s">
        <v>12</v>
      </c>
    </row>
    <row r="210" spans="1:6" ht="18.95" customHeight="1" x14ac:dyDescent="0.25">
      <c r="A210" s="6" t="s">
        <v>349</v>
      </c>
      <c r="B210" s="7" t="s">
        <v>350</v>
      </c>
      <c r="C210" s="6" t="s">
        <v>349</v>
      </c>
      <c r="D210" s="8">
        <v>240.23591999999999</v>
      </c>
      <c r="E210" s="8">
        <f>D210*(1+$B$4)</f>
        <v>259.45479360000002</v>
      </c>
      <c r="F210" s="9">
        <f>ROUND(E210*(1+$E$4), 0)</f>
        <v>306</v>
      </c>
    </row>
    <row r="212" spans="1:6" ht="21.95" customHeight="1" x14ac:dyDescent="0.25">
      <c r="A212" s="13" t="s">
        <v>351</v>
      </c>
      <c r="B212" s="14"/>
      <c r="C212" s="14"/>
      <c r="D212" s="14"/>
      <c r="E212" s="14"/>
      <c r="F212" s="14"/>
    </row>
    <row r="213" spans="1:6" ht="20.100000000000001" customHeight="1" x14ac:dyDescent="0.25">
      <c r="A213" s="4" t="s">
        <v>7</v>
      </c>
      <c r="B213" s="4" t="s">
        <v>8</v>
      </c>
      <c r="C213" s="4" t="s">
        <v>9</v>
      </c>
      <c r="D213" s="5" t="s">
        <v>10</v>
      </c>
      <c r="E213" s="5" t="s">
        <v>11</v>
      </c>
      <c r="F213" s="5" t="s">
        <v>12</v>
      </c>
    </row>
    <row r="214" spans="1:6" ht="18.95" customHeight="1" x14ac:dyDescent="0.25">
      <c r="A214" s="6" t="s">
        <v>352</v>
      </c>
      <c r="B214" s="7" t="s">
        <v>353</v>
      </c>
      <c r="C214" s="6" t="s">
        <v>354</v>
      </c>
      <c r="D214" s="8">
        <v>1249.9231199999999</v>
      </c>
      <c r="E214" s="8">
        <f t="shared" ref="E214:E220" si="20">D214*(1+$B$4)</f>
        <v>1349.9169695999999</v>
      </c>
      <c r="F214" s="9">
        <f t="shared" ref="F214:F220" si="21">ROUND(E214*(1+$E$4), 0)</f>
        <v>1593</v>
      </c>
    </row>
    <row r="215" spans="1:6" ht="18.95" customHeight="1" x14ac:dyDescent="0.25">
      <c r="A215" s="10" t="s">
        <v>352</v>
      </c>
      <c r="B215" s="11" t="s">
        <v>355</v>
      </c>
      <c r="C215" s="10" t="s">
        <v>356</v>
      </c>
      <c r="D215" s="12">
        <v>2299.6496400000001</v>
      </c>
      <c r="E215" s="12">
        <f t="shared" si="20"/>
        <v>2483.6216112000002</v>
      </c>
      <c r="F215" s="9">
        <f t="shared" si="21"/>
        <v>2931</v>
      </c>
    </row>
    <row r="216" spans="1:6" ht="18.95" customHeight="1" x14ac:dyDescent="0.25">
      <c r="A216" s="6" t="s">
        <v>352</v>
      </c>
      <c r="B216" s="7" t="s">
        <v>357</v>
      </c>
      <c r="C216" s="6" t="s">
        <v>358</v>
      </c>
      <c r="D216" s="8">
        <v>4849.902</v>
      </c>
      <c r="E216" s="8">
        <f t="shared" si="20"/>
        <v>5237.8941600000007</v>
      </c>
      <c r="F216" s="9">
        <f t="shared" si="21"/>
        <v>6181</v>
      </c>
    </row>
    <row r="217" spans="1:6" ht="18.95" customHeight="1" x14ac:dyDescent="0.25">
      <c r="A217" s="10" t="s">
        <v>352</v>
      </c>
      <c r="B217" s="11" t="s">
        <v>359</v>
      </c>
      <c r="C217" s="10" t="s">
        <v>360</v>
      </c>
      <c r="D217" s="12">
        <v>0</v>
      </c>
      <c r="E217" s="12">
        <f t="shared" si="20"/>
        <v>0</v>
      </c>
      <c r="F217" s="9">
        <f t="shared" si="21"/>
        <v>0</v>
      </c>
    </row>
    <row r="218" spans="1:6" ht="18.95" customHeight="1" x14ac:dyDescent="0.25">
      <c r="A218" s="6" t="s">
        <v>352</v>
      </c>
      <c r="B218" s="7" t="s">
        <v>361</v>
      </c>
      <c r="C218" s="6" t="s">
        <v>354</v>
      </c>
      <c r="D218" s="8">
        <v>1249.9231199999999</v>
      </c>
      <c r="E218" s="8">
        <f t="shared" si="20"/>
        <v>1349.9169695999999</v>
      </c>
      <c r="F218" s="9">
        <f t="shared" si="21"/>
        <v>1593</v>
      </c>
    </row>
    <row r="219" spans="1:6" ht="18.95" customHeight="1" x14ac:dyDescent="0.25">
      <c r="A219" s="10" t="s">
        <v>352</v>
      </c>
      <c r="B219" s="11" t="s">
        <v>362</v>
      </c>
      <c r="C219" s="10" t="s">
        <v>356</v>
      </c>
      <c r="D219" s="12">
        <v>2299.6496400000001</v>
      </c>
      <c r="E219" s="12">
        <f t="shared" si="20"/>
        <v>2483.6216112000002</v>
      </c>
      <c r="F219" s="9">
        <f t="shared" si="21"/>
        <v>2931</v>
      </c>
    </row>
    <row r="220" spans="1:6" ht="18.95" customHeight="1" x14ac:dyDescent="0.25">
      <c r="A220" s="6" t="s">
        <v>352</v>
      </c>
      <c r="B220" s="7" t="s">
        <v>363</v>
      </c>
      <c r="C220" s="6" t="s">
        <v>358</v>
      </c>
      <c r="D220" s="8">
        <v>4849.902</v>
      </c>
      <c r="E220" s="8">
        <f t="shared" si="20"/>
        <v>5237.8941600000007</v>
      </c>
      <c r="F220" s="9">
        <f t="shared" si="21"/>
        <v>6181</v>
      </c>
    </row>
    <row r="222" spans="1:6" ht="21.95" customHeight="1" x14ac:dyDescent="0.25">
      <c r="A222" s="13" t="s">
        <v>364</v>
      </c>
      <c r="B222" s="14"/>
      <c r="C222" s="14"/>
      <c r="D222" s="14"/>
      <c r="E222" s="14"/>
      <c r="F222" s="14"/>
    </row>
    <row r="223" spans="1:6" ht="20.100000000000001" customHeight="1" x14ac:dyDescent="0.25">
      <c r="A223" s="4" t="s">
        <v>7</v>
      </c>
      <c r="B223" s="4" t="s">
        <v>8</v>
      </c>
      <c r="C223" s="4" t="s">
        <v>9</v>
      </c>
      <c r="D223" s="5" t="s">
        <v>10</v>
      </c>
      <c r="E223" s="5" t="s">
        <v>11</v>
      </c>
      <c r="F223" s="5" t="s">
        <v>12</v>
      </c>
    </row>
    <row r="224" spans="1:6" ht="18.95" customHeight="1" x14ac:dyDescent="0.25">
      <c r="A224" s="6" t="s">
        <v>365</v>
      </c>
      <c r="B224" s="7" t="s">
        <v>366</v>
      </c>
      <c r="C224" s="6" t="s">
        <v>367</v>
      </c>
      <c r="D224" s="8">
        <v>1520.58370068</v>
      </c>
      <c r="E224" s="8">
        <f t="shared" ref="E224:E232" si="22">D224*(1+$B$4)</f>
        <v>1642.2303967344001</v>
      </c>
      <c r="F224" s="9">
        <f t="shared" ref="F224:F232" si="23">ROUND(E224*(1+$E$4), 0)</f>
        <v>1938</v>
      </c>
    </row>
    <row r="225" spans="1:6" ht="18.95" customHeight="1" x14ac:dyDescent="0.25">
      <c r="A225" s="10" t="s">
        <v>365</v>
      </c>
      <c r="B225" s="11" t="s">
        <v>368</v>
      </c>
      <c r="C225" s="10" t="s">
        <v>369</v>
      </c>
      <c r="D225" s="12">
        <v>1793.33764146</v>
      </c>
      <c r="E225" s="12">
        <f t="shared" si="22"/>
        <v>1936.8046527768001</v>
      </c>
      <c r="F225" s="9">
        <f t="shared" si="23"/>
        <v>2285</v>
      </c>
    </row>
    <row r="226" spans="1:6" ht="18.95" customHeight="1" x14ac:dyDescent="0.25">
      <c r="A226" s="6" t="s">
        <v>365</v>
      </c>
      <c r="B226" s="7" t="s">
        <v>370</v>
      </c>
      <c r="C226" s="6" t="s">
        <v>369</v>
      </c>
      <c r="D226" s="8">
        <v>1742.8737363299999</v>
      </c>
      <c r="E226" s="8">
        <f t="shared" si="22"/>
        <v>1882.3036352363999</v>
      </c>
      <c r="F226" s="9">
        <f t="shared" si="23"/>
        <v>2221</v>
      </c>
    </row>
    <row r="227" spans="1:6" ht="18.95" customHeight="1" x14ac:dyDescent="0.25">
      <c r="A227" s="10" t="s">
        <v>365</v>
      </c>
      <c r="B227" s="11" t="s">
        <v>371</v>
      </c>
      <c r="C227" s="10" t="s">
        <v>372</v>
      </c>
      <c r="D227" s="12">
        <v>2045.9030803200001</v>
      </c>
      <c r="E227" s="12">
        <f t="shared" si="22"/>
        <v>2209.5753267456003</v>
      </c>
      <c r="F227" s="9">
        <f t="shared" si="23"/>
        <v>2607</v>
      </c>
    </row>
    <row r="228" spans="1:6" ht="18.95" customHeight="1" x14ac:dyDescent="0.25">
      <c r="A228" s="6" t="s">
        <v>365</v>
      </c>
      <c r="B228" s="7" t="s">
        <v>373</v>
      </c>
      <c r="C228" s="6" t="s">
        <v>372</v>
      </c>
      <c r="D228" s="8">
        <v>1944.96598395</v>
      </c>
      <c r="E228" s="8">
        <f t="shared" si="22"/>
        <v>2100.5632626660004</v>
      </c>
      <c r="F228" s="9">
        <f t="shared" si="23"/>
        <v>2479</v>
      </c>
    </row>
    <row r="229" spans="1:6" ht="18.95" customHeight="1" x14ac:dyDescent="0.25">
      <c r="A229" s="10" t="s">
        <v>365</v>
      </c>
      <c r="B229" s="11" t="s">
        <v>374</v>
      </c>
      <c r="C229" s="10" t="s">
        <v>375</v>
      </c>
      <c r="D229" s="12">
        <v>2596.4766009</v>
      </c>
      <c r="E229" s="12">
        <f t="shared" si="22"/>
        <v>2804.1947289720001</v>
      </c>
      <c r="F229" s="9">
        <f t="shared" si="23"/>
        <v>3309</v>
      </c>
    </row>
    <row r="230" spans="1:6" ht="18.95" customHeight="1" x14ac:dyDescent="0.25">
      <c r="A230" s="6" t="s">
        <v>365</v>
      </c>
      <c r="B230" s="7" t="s">
        <v>376</v>
      </c>
      <c r="C230" s="6" t="s">
        <v>375</v>
      </c>
      <c r="D230" s="8">
        <v>2647.04416425</v>
      </c>
      <c r="E230" s="8">
        <f t="shared" si="22"/>
        <v>2858.8076973900002</v>
      </c>
      <c r="F230" s="9">
        <f t="shared" si="23"/>
        <v>3373</v>
      </c>
    </row>
    <row r="231" spans="1:6" ht="18.95" customHeight="1" x14ac:dyDescent="0.25">
      <c r="A231" s="10" t="s">
        <v>365</v>
      </c>
      <c r="B231" s="11" t="s">
        <v>377</v>
      </c>
      <c r="C231" s="10" t="s">
        <v>367</v>
      </c>
      <c r="D231" s="12">
        <v>1571.1472689</v>
      </c>
      <c r="E231" s="12">
        <f t="shared" si="22"/>
        <v>1696.839050412</v>
      </c>
      <c r="F231" s="9">
        <f t="shared" si="23"/>
        <v>2002</v>
      </c>
    </row>
    <row r="232" spans="1:6" ht="18.95" customHeight="1" x14ac:dyDescent="0.25">
      <c r="A232" s="6" t="s">
        <v>365</v>
      </c>
      <c r="B232" s="7" t="s">
        <v>378</v>
      </c>
      <c r="C232" s="6" t="s">
        <v>379</v>
      </c>
      <c r="D232" s="8">
        <v>1501.4745</v>
      </c>
      <c r="E232" s="8">
        <f t="shared" si="22"/>
        <v>1621.5924600000001</v>
      </c>
      <c r="F232" s="9">
        <f t="shared" si="23"/>
        <v>1913</v>
      </c>
    </row>
    <row r="234" spans="1:6" ht="21.95" customHeight="1" x14ac:dyDescent="0.25">
      <c r="A234" s="13" t="s">
        <v>380</v>
      </c>
      <c r="B234" s="14"/>
      <c r="C234" s="14"/>
      <c r="D234" s="14"/>
      <c r="E234" s="14"/>
      <c r="F234" s="14"/>
    </row>
    <row r="235" spans="1:6" ht="20.100000000000001" customHeight="1" x14ac:dyDescent="0.25">
      <c r="A235" s="4" t="s">
        <v>7</v>
      </c>
      <c r="B235" s="4" t="s">
        <v>8</v>
      </c>
      <c r="C235" s="4" t="s">
        <v>9</v>
      </c>
      <c r="D235" s="5" t="s">
        <v>10</v>
      </c>
      <c r="E235" s="5" t="s">
        <v>11</v>
      </c>
      <c r="F235" s="5" t="s">
        <v>12</v>
      </c>
    </row>
    <row r="236" spans="1:6" ht="18.95" customHeight="1" x14ac:dyDescent="0.25">
      <c r="A236" s="6" t="s">
        <v>381</v>
      </c>
      <c r="B236" s="7" t="s">
        <v>382</v>
      </c>
      <c r="C236" s="6" t="s">
        <v>383</v>
      </c>
      <c r="D236" s="8">
        <v>1753.8963000000001</v>
      </c>
      <c r="E236" s="8">
        <f>D236*(1+$B$4)</f>
        <v>1894.2080040000003</v>
      </c>
      <c r="F236" s="9">
        <f>ROUND(E236*(1+$E$4), 0)</f>
        <v>2235</v>
      </c>
    </row>
    <row r="237" spans="1:6" ht="18.95" customHeight="1" x14ac:dyDescent="0.25">
      <c r="A237" s="10" t="s">
        <v>381</v>
      </c>
      <c r="B237" s="11" t="s">
        <v>384</v>
      </c>
      <c r="C237" s="10" t="s">
        <v>385</v>
      </c>
      <c r="D237" s="12">
        <v>1753.8963000000001</v>
      </c>
      <c r="E237" s="12">
        <f>D237*(1+$B$4)</f>
        <v>1894.2080040000003</v>
      </c>
      <c r="F237" s="9">
        <f>ROUND(E237*(1+$E$4), 0)</f>
        <v>2235</v>
      </c>
    </row>
    <row r="238" spans="1:6" ht="18.95" customHeight="1" x14ac:dyDescent="0.25">
      <c r="A238" s="6" t="s">
        <v>381</v>
      </c>
      <c r="B238" s="7" t="s">
        <v>386</v>
      </c>
      <c r="C238" s="6" t="s">
        <v>387</v>
      </c>
      <c r="D238" s="8">
        <v>2424.951</v>
      </c>
      <c r="E238" s="8">
        <f>D238*(1+$B$4)</f>
        <v>2618.9470800000004</v>
      </c>
      <c r="F238" s="9">
        <f>ROUND(E238*(1+$E$4), 0)</f>
        <v>3090</v>
      </c>
    </row>
    <row r="240" spans="1:6" ht="21.95" customHeight="1" x14ac:dyDescent="0.25">
      <c r="A240" s="13" t="s">
        <v>388</v>
      </c>
      <c r="B240" s="14"/>
      <c r="C240" s="14"/>
      <c r="D240" s="14"/>
      <c r="E240" s="14"/>
      <c r="F240" s="14"/>
    </row>
    <row r="241" spans="1:6" ht="20.100000000000001" customHeight="1" x14ac:dyDescent="0.25">
      <c r="A241" s="4" t="s">
        <v>7</v>
      </c>
      <c r="B241" s="4" t="s">
        <v>8</v>
      </c>
      <c r="C241" s="4" t="s">
        <v>9</v>
      </c>
      <c r="D241" s="5" t="s">
        <v>10</v>
      </c>
      <c r="E241" s="5" t="s">
        <v>11</v>
      </c>
      <c r="F241" s="5" t="s">
        <v>12</v>
      </c>
    </row>
    <row r="242" spans="1:6" ht="18.95" customHeight="1" x14ac:dyDescent="0.25">
      <c r="A242" s="6" t="s">
        <v>389</v>
      </c>
      <c r="B242" s="7" t="s">
        <v>390</v>
      </c>
      <c r="C242" s="6" t="s">
        <v>391</v>
      </c>
      <c r="D242" s="8">
        <v>3566.277</v>
      </c>
      <c r="E242" s="8">
        <f>D242*(1+$B$4)</f>
        <v>3851.5791600000002</v>
      </c>
      <c r="F242" s="9">
        <f>ROUND(E242*(1+$E$4), 0)</f>
        <v>4545</v>
      </c>
    </row>
  </sheetData>
  <mergeCells count="21">
    <mergeCell ref="A1:F1"/>
    <mergeCell ref="A7:F7"/>
    <mergeCell ref="A240:F240"/>
    <mergeCell ref="A200:F200"/>
    <mergeCell ref="A180:F180"/>
    <mergeCell ref="A112:F112"/>
    <mergeCell ref="A68:F68"/>
    <mergeCell ref="A127:F127"/>
    <mergeCell ref="A157:F157"/>
    <mergeCell ref="A222:F222"/>
    <mergeCell ref="A138:F138"/>
    <mergeCell ref="A2:F2"/>
    <mergeCell ref="A204:F204"/>
    <mergeCell ref="A42:F42"/>
    <mergeCell ref="A188:F188"/>
    <mergeCell ref="A234:F234"/>
    <mergeCell ref="A212:F212"/>
    <mergeCell ref="A208:F208"/>
    <mergeCell ref="A84:F84"/>
    <mergeCell ref="A90:F90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Plus Dealer Rate Card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2026-08-07T08:08:12Z</dcterms:created>
  <dcterms:modified xsi:type="dcterms:W3CDTF">2026-08-17T12:13:05Z</dcterms:modified>
</cp:coreProperties>
</file>